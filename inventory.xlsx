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</fonts>
  <fills count="4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7FAFC"/>
        <bgColor rgb="00F7FAFC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3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4" fontId="2" fillId="0" borderId="1" applyAlignment="1" pivotButton="0" quotePrefix="0" xfId="0">
      <alignment horizontal="right" vertical="center"/>
    </xf>
    <xf numFmtId="3" fontId="2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48" customWidth="1" min="3" max="3"/>
    <col width="33" customWidth="1" min="4" max="4"/>
    <col width="37" customWidth="1" min="5" max="5"/>
    <col width="32" customWidth="1" min="6" max="6"/>
    <col width="12" customWidth="1" min="7" max="7"/>
    <col width="12" customWidth="1" min="8" max="8"/>
    <col width="14" customWidth="1" min="9" max="9"/>
    <col width="48" customWidth="1" min="10" max="10"/>
    <col width="48" customWidth="1" min="11" max="11"/>
    <col width="16" customWidth="1" min="12" max="12"/>
    <col width="17" customWidth="1" min="13" max="13"/>
    <col width="15" customWidth="1" min="14" max="14"/>
    <col width="14" customWidth="1" min="15" max="15"/>
    <col width="12" customWidth="1" min="16" max="16"/>
    <col width="12" customWidth="1" min="17" max="17"/>
    <col width="12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>
      <c r="A1" s="1" t="inlineStr">
        <is>
          <t>Product Code</t>
        </is>
      </c>
      <c r="B1" s="1" t="inlineStr">
        <is>
          <t>SEO Title</t>
        </is>
      </c>
      <c r="C1" s="1" t="inlineStr">
        <is>
          <t>Product Name</t>
        </is>
      </c>
      <c r="D1" s="1" t="inlineStr">
        <is>
          <t>Material</t>
        </is>
      </c>
      <c r="E1" s="1" t="inlineStr">
        <is>
          <t>Color</t>
        </is>
      </c>
      <c r="F1" s="1" t="inlineStr">
        <is>
          <t>Phone Model</t>
        </is>
      </c>
      <c r="G1" s="1" t="inlineStr">
        <is>
          <t>Warranty</t>
        </is>
      </c>
      <c r="H1" s="1" t="inlineStr">
        <is>
          <t>Pre-Order</t>
        </is>
      </c>
      <c r="I1" s="1" t="inlineStr">
        <is>
          <t>source link</t>
        </is>
      </c>
      <c r="J1" s="1" t="inlineStr">
        <is>
          <t>link</t>
        </is>
      </c>
      <c r="K1" s="1" t="inlineStr">
        <is>
          <t>Local Image Path</t>
        </is>
      </c>
      <c r="L1" s="1" t="inlineStr">
        <is>
          <t>product price</t>
        </is>
      </c>
      <c r="M1" s="1" t="inlineStr">
        <is>
          <t>china delivery</t>
        </is>
      </c>
      <c r="N1" s="1" t="inlineStr">
        <is>
          <t>air shipping</t>
        </is>
      </c>
      <c r="O1" s="1" t="inlineStr">
        <is>
          <t>bd delivery</t>
        </is>
      </c>
      <c r="P1" s="1" t="inlineStr">
        <is>
          <t>packaging</t>
        </is>
      </c>
      <c r="Q1" s="1" t="inlineStr">
        <is>
          <t>printing</t>
        </is>
      </c>
      <c r="R1" s="1" t="inlineStr">
        <is>
          <t>other</t>
        </is>
      </c>
      <c r="S1" s="1" t="inlineStr">
        <is>
          <t>landing cost</t>
        </is>
      </c>
      <c r="T1" s="1" t="inlineStr">
        <is>
          <t>margin</t>
        </is>
      </c>
      <c r="U1" s="1" t="inlineStr">
        <is>
          <t>sell price</t>
        </is>
      </c>
      <c r="V1" s="1" t="inlineStr">
        <is>
          <t>max discount</t>
        </is>
      </c>
    </row>
    <row r="2">
      <c r="A2" s="2" t="inlineStr">
        <is>
          <t>T4P-TG-BP-N</t>
        </is>
      </c>
      <c r="B2" s="3" t="inlineStr">
        <is>
          <t>Luxury 9H Tempered Glass Back Cover for RedmiTurbo 4 Pro – Glossy Anti-Scratch Armor Protective Case</t>
        </is>
      </c>
      <c r="C2" s="3" t="inlineStr">
        <is>
          <t>Redmi Turbo 4 Pro Tempered Glass Protective Case – White Glass Shell</t>
        </is>
      </c>
      <c r="D2" s="2" t="inlineStr">
        <is>
          <t>Tempered glass</t>
        </is>
      </c>
      <c r="E2" s="2" t="inlineStr">
        <is>
          <t>Black - printed</t>
        </is>
      </c>
      <c r="F2" s="2" t="inlineStr">
        <is>
          <t>RedmiTurbo 4 Pro</t>
        </is>
      </c>
      <c r="G2" s="2" t="inlineStr">
        <is>
          <t>No</t>
        </is>
      </c>
      <c r="H2" s="2" t="inlineStr">
        <is>
          <t>No</t>
        </is>
      </c>
      <c r="I2" s="2" t="inlineStr">
        <is>
          <t>Link</t>
        </is>
      </c>
      <c r="J2" s="3" t="inlineStr">
        <is>
          <t>https://moveon.global/BD_en/products/0000000TPCI3HYH3-jit-one-piece-dropshippingsuitable-for-xiaomi17-phone-case-independent-station-15spod13t-semi-hosted-civi4/1AD8305263723979</t>
        </is>
      </c>
      <c r="K2" s="3" t="inlineStr"/>
      <c r="L2" s="4" t="n">
        <v>133</v>
      </c>
      <c r="M2" s="4" t="n">
        <v>11.7</v>
      </c>
      <c r="N2" s="4" t="n">
        <v>54.6</v>
      </c>
      <c r="O2" s="4" t="n">
        <v>2.54</v>
      </c>
      <c r="P2" s="4" t="n">
        <v>11.5</v>
      </c>
      <c r="Q2" s="4" t="n">
        <v>20</v>
      </c>
      <c r="R2" s="4" t="n">
        <v>0</v>
      </c>
      <c r="S2" s="4">
        <f>SUM(L2:R2)</f>
        <v/>
      </c>
      <c r="T2" s="4">
        <f>IF(S2&lt;300, S2*1.4, IF(S2&lt;400, S2*1.33, S2*1.25))</f>
        <v/>
      </c>
      <c r="U2" s="5">
        <f>INT(T2/100)*100 + IF(MOD(ROUND(T2,0),100)&lt;25, 0, IF(MOD(ROUND(T2,0),100)&lt;=74, 49, 99))</f>
        <v/>
      </c>
      <c r="V2" s="4">
        <f>IF(U2&lt;300, 0, MIN(99, IF(U2&lt;500, U2*7%, IF(U2&lt;700, U2*12%, U2*15%))))</f>
        <v/>
      </c>
    </row>
    <row r="3">
      <c r="A3" s="6" t="inlineStr">
        <is>
          <t>18PM-TPUM-CR-N</t>
        </is>
      </c>
      <c r="B3" s="7" t="inlineStr">
        <is>
          <t>Magnetic Clear Shockproof TPU Case with Lens Film for iPhone 18 Pro Max – Full Protection Slim Soft Cover</t>
        </is>
      </c>
      <c r="C3" s="7" t="inlineStr">
        <is>
          <t>iPhone 18 Pro Max Phone Case, Magnetic, Transparent, with Lens Film</t>
        </is>
      </c>
      <c r="D3" s="6" t="inlineStr">
        <is>
          <t>TPU</t>
        </is>
      </c>
      <c r="E3" s="6" t="inlineStr">
        <is>
          <t>Cherry Red Magnetic Style</t>
        </is>
      </c>
      <c r="F3" s="6" t="inlineStr">
        <is>
          <t>iPhone 18 Pro Max</t>
        </is>
      </c>
      <c r="G3" s="6" t="inlineStr">
        <is>
          <t>No</t>
        </is>
      </c>
      <c r="H3" s="6" t="inlineStr">
        <is>
          <t>No</t>
        </is>
      </c>
      <c r="I3" s="6" t="inlineStr">
        <is>
          <t>Link</t>
        </is>
      </c>
      <c r="J3" s="7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K3" s="7" t="inlineStr"/>
      <c r="L3" s="8" t="n">
        <v>345.8</v>
      </c>
      <c r="M3" s="8" t="n">
        <v>24.61</v>
      </c>
      <c r="N3" s="8" t="n">
        <v>35.01</v>
      </c>
      <c r="O3" s="8" t="n">
        <v>2.54</v>
      </c>
      <c r="P3" s="8" t="n">
        <v>11.5</v>
      </c>
      <c r="Q3" s="8" t="n">
        <v>20</v>
      </c>
      <c r="R3" s="8" t="n">
        <v>0</v>
      </c>
      <c r="S3" s="8">
        <f>SUM(L3:R3)</f>
        <v/>
      </c>
      <c r="T3" s="8">
        <f>IF(S3&lt;300, S3*1.4, IF(S3&lt;400, S3*1.33, S3*1.25))</f>
        <v/>
      </c>
      <c r="U3" s="9">
        <f>INT(T3/100)*100 + IF(MOD(ROUND(T3,0),100)&lt;25, 0, IF(MOD(ROUND(T3,0),100)&lt;=74, 49, 99))</f>
        <v/>
      </c>
      <c r="V3" s="8">
        <f>IF(U3&lt;300, 0, MIN(99, IF(U3&lt;500, U3*7%, IF(U3&lt;700, U3*12%, U3*15%))))</f>
        <v/>
      </c>
    </row>
    <row r="4">
      <c r="A4" s="2" t="inlineStr">
        <is>
          <t>18PM-TPUM-SB-N</t>
        </is>
      </c>
      <c r="B4" s="3" t="inlineStr">
        <is>
          <t>Magnetic Clear Shockproof TPU Case with Lens Film for iPhone 18 Pro Max – Full Protection Slim Soft Cover</t>
        </is>
      </c>
      <c r="C4" s="3" t="inlineStr">
        <is>
          <t>iPhone 18 Pro Max Phone Case, Magnetic, Transparent, with Lens Film</t>
        </is>
      </c>
      <c r="D4" s="2" t="inlineStr">
        <is>
          <t>TPU</t>
        </is>
      </c>
      <c r="E4" s="2" t="inlineStr">
        <is>
          <t>Sky Blue Magnetic Style</t>
        </is>
      </c>
      <c r="F4" s="2" t="inlineStr">
        <is>
          <t>iPhone 18 Pro Max</t>
        </is>
      </c>
      <c r="G4" s="2" t="inlineStr">
        <is>
          <t>No</t>
        </is>
      </c>
      <c r="H4" s="2" t="inlineStr">
        <is>
          <t>No</t>
        </is>
      </c>
      <c r="I4" s="2" t="inlineStr">
        <is>
          <t>Link</t>
        </is>
      </c>
      <c r="J4" s="3" t="inlineStr">
        <is>
          <t>https://moveon.global/BD_en/products/0000000P47PA9R8D-suitable-for-iphone-18-pro-max-phone-case-magnetic-transparent-with-apple-17-lens-film-full-coverage-and-a-simple-drop-resistant-design/1AD8373708955104</t>
        </is>
      </c>
      <c r="K4" s="3" t="inlineStr"/>
      <c r="L4" s="4" t="n">
        <v>345.8</v>
      </c>
      <c r="M4" s="4" t="n">
        <v>24.61</v>
      </c>
      <c r="N4" s="4" t="n">
        <v>35.01</v>
      </c>
      <c r="O4" s="4" t="n">
        <v>2.54</v>
      </c>
      <c r="P4" s="4" t="n">
        <v>11.5</v>
      </c>
      <c r="Q4" s="4" t="n">
        <v>20</v>
      </c>
      <c r="R4" s="4" t="n">
        <v>0</v>
      </c>
      <c r="S4" s="4">
        <f>SUM(L4:R4)</f>
        <v/>
      </c>
      <c r="T4" s="4">
        <f>IF(S4&lt;300, S4*1.4, IF(S4&lt;400, S4*1.33, S4*1.25))</f>
        <v/>
      </c>
      <c r="U4" s="5">
        <f>INT(T4/100)*100 + IF(MOD(ROUND(T4,0),100)&lt;25, 0, IF(MOD(ROUND(T4,0),100)&lt;=74, 49, 99))</f>
        <v/>
      </c>
      <c r="V4" s="4">
        <f>IF(U4&lt;300, 0, MIN(99, IF(U4&lt;500, U4*7%, IF(U4&lt;700, U4*12%, U4*15%))))</f>
        <v/>
      </c>
    </row>
    <row r="5">
      <c r="A5" s="6" t="inlineStr">
        <is>
          <t>T4P-AC-BG-N</t>
        </is>
      </c>
      <c r="B5" s="7" t="inlineStr">
        <is>
          <t>Mecha Armor Shockproof Matte Case for Redmi Turbo 4 Pro – Heavy Duty Acrylic Bumper Back Cover</t>
        </is>
      </c>
      <c r="C5" s="7" t="inlineStr">
        <is>
          <t>Redmi Turbo 4 Pro Mecha style acrylic matte finish case</t>
        </is>
      </c>
      <c r="D5" s="6" t="inlineStr">
        <is>
          <t>Acrylic</t>
        </is>
      </c>
      <c r="E5" s="6" t="inlineStr">
        <is>
          <t>Black -Green</t>
        </is>
      </c>
      <c r="F5" s="6" t="inlineStr">
        <is>
          <t>Redmi Turbo 4 Pro</t>
        </is>
      </c>
      <c r="G5" s="6" t="inlineStr">
        <is>
          <t>No</t>
        </is>
      </c>
      <c r="H5" s="6" t="inlineStr">
        <is>
          <t>No</t>
        </is>
      </c>
      <c r="I5" s="6" t="inlineStr">
        <is>
          <t>Link</t>
        </is>
      </c>
      <c r="J5" s="7" t="inlineStr">
        <is>
          <t>https://moveon.global/BD_en/products/0000000UYR39CZAL-cool-mecha-style-case-suitable-for-redmi-turbo-4-pro-new-mens-mecha-style-turbo-3-phone-case/1AD8366032951156</t>
        </is>
      </c>
      <c r="K5" s="7" t="inlineStr"/>
      <c r="L5" s="8" t="n">
        <v>159.6</v>
      </c>
      <c r="M5" s="8" t="n">
        <v>2.66</v>
      </c>
      <c r="N5" s="8" t="n">
        <v>51.2</v>
      </c>
      <c r="O5" s="8" t="n">
        <v>2.54</v>
      </c>
      <c r="P5" s="8" t="n">
        <v>11.5</v>
      </c>
      <c r="Q5" s="8" t="n">
        <v>20</v>
      </c>
      <c r="R5" s="8" t="n">
        <v>0</v>
      </c>
      <c r="S5" s="8">
        <f>SUM(L5:R5)</f>
        <v/>
      </c>
      <c r="T5" s="8">
        <f>IF(S5&lt;300, S5*1.4, IF(S5&lt;400, S5*1.33, S5*1.25))</f>
        <v/>
      </c>
      <c r="U5" s="9">
        <f>INT(T5/100)*100 + IF(MOD(ROUND(T5,0),100)&lt;25, 0, IF(MOD(ROUND(T5,0),100)&lt;=74, 49, 99))</f>
        <v/>
      </c>
      <c r="V5" s="8">
        <f>IF(U5&lt;300, 0, MIN(99, IF(U5&lt;500, U5*7%, IF(U5&lt;700, U5*12%, U5*15%))))</f>
        <v/>
      </c>
    </row>
    <row r="6">
      <c r="A6" s="2" t="inlineStr">
        <is>
          <t>T4P-AC-BR-N</t>
        </is>
      </c>
      <c r="B6" s="3" t="inlineStr">
        <is>
          <t>Mecha Armor Shockproof Matte Case for Redmi Turbo 4 Pro – Heavy Duty Acrylic Bumper Back Cover</t>
        </is>
      </c>
      <c r="C6" s="3" t="inlineStr">
        <is>
          <t>Redmi Turbo 4 Pro Mecha style acrylic matte finish case</t>
        </is>
      </c>
      <c r="D6" s="2" t="inlineStr">
        <is>
          <t>Acrylic</t>
        </is>
      </c>
      <c r="E6" s="2" t="inlineStr">
        <is>
          <t>Black -Red</t>
        </is>
      </c>
      <c r="F6" s="2" t="inlineStr">
        <is>
          <t>Redmi Turbo 4 Pro</t>
        </is>
      </c>
      <c r="G6" s="2" t="inlineStr">
        <is>
          <t>No</t>
        </is>
      </c>
      <c r="H6" s="2" t="inlineStr">
        <is>
          <t>No</t>
        </is>
      </c>
      <c r="I6" s="2" t="inlineStr">
        <is>
          <t>Link</t>
        </is>
      </c>
      <c r="J6" s="3" t="inlineStr">
        <is>
          <t>https://moveon.global/BD_en/products/0000000UYR39CZAL-cool-mecha-style-case-suitable-for-redmi-turbo-4-pro-new-mens-mecha-style-turbo-3-phone-case/1AD8366032951156</t>
        </is>
      </c>
      <c r="K6" s="3" t="inlineStr"/>
      <c r="L6" s="4" t="n">
        <v>159.6</v>
      </c>
      <c r="M6" s="4" t="n">
        <v>2.66</v>
      </c>
      <c r="N6" s="4" t="n">
        <v>51.2</v>
      </c>
      <c r="O6" s="4" t="n">
        <v>2.54</v>
      </c>
      <c r="P6" s="4" t="n">
        <v>11.5</v>
      </c>
      <c r="Q6" s="4" t="n">
        <v>20</v>
      </c>
      <c r="R6" s="4" t="n">
        <v>0</v>
      </c>
      <c r="S6" s="4">
        <f>SUM(L6:R6)</f>
        <v/>
      </c>
      <c r="T6" s="4">
        <f>IF(S6&lt;300, S6*1.4, IF(S6&lt;400, S6*1.33, S6*1.25))</f>
        <v/>
      </c>
      <c r="U6" s="5">
        <f>INT(T6/100)*100 + IF(MOD(ROUND(T6,0),100)&lt;25, 0, IF(MOD(ROUND(T6,0),100)&lt;=74, 49, 99))</f>
        <v/>
      </c>
      <c r="V6" s="4">
        <f>IF(U6&lt;300, 0, MIN(99, IF(U6&lt;500, U6*7%, IF(U6&lt;700, U6*12%, U6*15%))))</f>
        <v/>
      </c>
    </row>
    <row r="7">
      <c r="A7" s="6" t="inlineStr">
        <is>
          <t>T4P-AC-BB-N</t>
        </is>
      </c>
      <c r="B7" s="7" t="inlineStr">
        <is>
          <t>Mecha Armor Shockproof Matte Case for Redmi Turbo 4 Pro – Heavy Duty Acrylic Bumper Back Cover</t>
        </is>
      </c>
      <c r="C7" s="7" t="inlineStr">
        <is>
          <t>Redmi  Turbo4 Pro Mecha style acrylic matte finish case</t>
        </is>
      </c>
      <c r="D7" s="6" t="inlineStr">
        <is>
          <t>Acrylic</t>
        </is>
      </c>
      <c r="E7" s="6" t="inlineStr">
        <is>
          <t>Black -Blue</t>
        </is>
      </c>
      <c r="F7" s="6" t="inlineStr">
        <is>
          <t>Redmi Turbo 4 Pro</t>
        </is>
      </c>
      <c r="G7" s="6" t="inlineStr">
        <is>
          <t>No</t>
        </is>
      </c>
      <c r="H7" s="6" t="inlineStr">
        <is>
          <t>No</t>
        </is>
      </c>
      <c r="I7" s="6" t="inlineStr">
        <is>
          <t>Link</t>
        </is>
      </c>
      <c r="J7" s="7" t="inlineStr">
        <is>
          <t>https://moveon.global/BD_en/products/0000000UYR39CZAL-cool-mecha-style-case-suitable-for-redmi-turbo-4-pro-new-mens-mecha-style-turbo-3-phone-case/1AD8366032951156</t>
        </is>
      </c>
      <c r="K7" s="7" t="inlineStr"/>
      <c r="L7" s="8" t="n">
        <v>159.6</v>
      </c>
      <c r="M7" s="8" t="n">
        <v>2.66</v>
      </c>
      <c r="N7" s="8" t="n">
        <v>51.2</v>
      </c>
      <c r="O7" s="8" t="n">
        <v>2.54</v>
      </c>
      <c r="P7" s="8" t="n">
        <v>11.5</v>
      </c>
      <c r="Q7" s="8" t="n">
        <v>20</v>
      </c>
      <c r="R7" s="8" t="n">
        <v>0</v>
      </c>
      <c r="S7" s="8">
        <f>SUM(L7:R7)</f>
        <v/>
      </c>
      <c r="T7" s="8">
        <f>IF(S7&lt;300, S7*1.4, IF(S7&lt;400, S7*1.33, S7*1.25))</f>
        <v/>
      </c>
      <c r="U7" s="9">
        <f>INT(T7/100)*100 + IF(MOD(ROUND(T7,0),100)&lt;25, 0, IF(MOD(ROUND(T7,0),100)&lt;=74, 49, 99))</f>
        <v/>
      </c>
      <c r="V7" s="8">
        <f>IF(U7&lt;300, 0, MIN(99, IF(U7&lt;500, U7*7%, IF(U7&lt;700, U7*12%, U7*15%))))</f>
        <v/>
      </c>
    </row>
    <row r="8">
      <c r="A8" s="2" t="inlineStr">
        <is>
          <t>T4-AC-BR-N</t>
        </is>
      </c>
      <c r="B8" s="3" t="inlineStr">
        <is>
          <t>Mecha Armor Shockproof Matte Case for Redmi Turbo 4 – Heavy Duty Acrylic Bumper Back Cover</t>
        </is>
      </c>
      <c r="C8" s="3" t="inlineStr">
        <is>
          <t>Redmi Turbo  4 Mecha style acrylic matte finish case</t>
        </is>
      </c>
      <c r="D8" s="2" t="inlineStr">
        <is>
          <t>Acrylic</t>
        </is>
      </c>
      <c r="E8" s="2" t="inlineStr">
        <is>
          <t>Black -Red</t>
        </is>
      </c>
      <c r="F8" s="2" t="inlineStr">
        <is>
          <t>Redmi Turbo 4</t>
        </is>
      </c>
      <c r="G8" s="2" t="inlineStr">
        <is>
          <t>No</t>
        </is>
      </c>
      <c r="H8" s="2" t="inlineStr">
        <is>
          <t>No</t>
        </is>
      </c>
      <c r="I8" s="2" t="inlineStr">
        <is>
          <t>Link</t>
        </is>
      </c>
      <c r="J8" s="3" t="inlineStr">
        <is>
          <t>https://moveon.global/BD_en/products/0000000UYR39CZAL-cool-mecha-style-case-suitable-for-redmi-turbo-4-pro-new-mens-mecha-style-turbo-3-phone-case/1AD8366032951156</t>
        </is>
      </c>
      <c r="K8" s="3" t="inlineStr"/>
      <c r="L8" s="4" t="n">
        <v>159.6</v>
      </c>
      <c r="M8" s="4" t="n">
        <v>2.66</v>
      </c>
      <c r="N8" s="4" t="n">
        <v>51.2</v>
      </c>
      <c r="O8" s="4" t="n">
        <v>2.54</v>
      </c>
      <c r="P8" s="4" t="n">
        <v>11.5</v>
      </c>
      <c r="Q8" s="4" t="n">
        <v>20</v>
      </c>
      <c r="R8" s="4" t="n">
        <v>0</v>
      </c>
      <c r="S8" s="4">
        <f>SUM(L8:R8)</f>
        <v/>
      </c>
      <c r="T8" s="4">
        <f>IF(S8&lt;300, S8*1.4, IF(S8&lt;400, S8*1.33, S8*1.25))</f>
        <v/>
      </c>
      <c r="U8" s="5">
        <f>INT(T8/100)*100 + IF(MOD(ROUND(T8,0),100)&lt;25, 0, IF(MOD(ROUND(T8,0),100)&lt;=74, 49, 99))</f>
        <v/>
      </c>
      <c r="V8" s="4">
        <f>IF(U8&lt;300, 0, MIN(99, IF(U8&lt;500, U8*7%, IF(U8&lt;700, U8*12%, U8*15%))))</f>
        <v/>
      </c>
    </row>
    <row r="9">
      <c r="A9" s="6" t="inlineStr">
        <is>
          <t>T4-AC-BB-N</t>
        </is>
      </c>
      <c r="B9" s="7" t="inlineStr">
        <is>
          <t>Mecha Armor Shockproof Matte Case for Redmi Turbo 4 – Heavy Duty Acrylic Bumper Back Cover</t>
        </is>
      </c>
      <c r="C9" s="7" t="inlineStr">
        <is>
          <t>Redmi Turbo 4 Mecha style acrylic matte finish case</t>
        </is>
      </c>
      <c r="D9" s="6" t="inlineStr">
        <is>
          <t>Acrylic</t>
        </is>
      </c>
      <c r="E9" s="6" t="inlineStr">
        <is>
          <t>Black -Blue</t>
        </is>
      </c>
      <c r="F9" s="6" t="inlineStr">
        <is>
          <t>Redmi Turbo 4</t>
        </is>
      </c>
      <c r="G9" s="6" t="inlineStr">
        <is>
          <t>No</t>
        </is>
      </c>
      <c r="H9" s="6" t="inlineStr">
        <is>
          <t>No</t>
        </is>
      </c>
      <c r="I9" s="6" t="inlineStr"/>
      <c r="J9" s="7" t="inlineStr">
        <is>
          <t>https://moveon.global/BD_en/products/0000000UYR39CZAL-cool-mecha-style-case-suitable-for-redmi-turbo-4-pro-new-mens-mecha-style-turbo-3-phone-case/1AD8366032951156</t>
        </is>
      </c>
      <c r="K9" s="7" t="inlineStr"/>
      <c r="L9" s="8" t="n">
        <v>159.6</v>
      </c>
      <c r="M9" s="8" t="n">
        <v>2.66</v>
      </c>
      <c r="N9" s="8" t="n">
        <v>51.2</v>
      </c>
      <c r="O9" s="8" t="n">
        <v>2.54</v>
      </c>
      <c r="P9" s="8" t="n">
        <v>11.5</v>
      </c>
      <c r="Q9" s="8" t="n">
        <v>20</v>
      </c>
      <c r="R9" s="8" t="n">
        <v>0</v>
      </c>
      <c r="S9" s="8">
        <f>SUM(L9:R9)</f>
        <v/>
      </c>
      <c r="T9" s="8">
        <f>IF(S9&lt;300, S9*1.4, IF(S9&lt;400, S9*1.33, S9*1.25))</f>
        <v/>
      </c>
      <c r="U9" s="9">
        <f>INT(T9/100)*100 + IF(MOD(ROUND(T9,0),100)&lt;25, 0, IF(MOD(ROUND(T9,0),100)&lt;=74, 49, 99))</f>
        <v/>
      </c>
      <c r="V9" s="8">
        <f>IF(U9&lt;300, 0, MIN(99, IF(U9&lt;500, U9*7%, IF(U9&lt;700, U9*12%, U9*15%))))</f>
        <v/>
      </c>
    </row>
    <row r="10">
      <c r="A10" s="2" t="inlineStr">
        <is>
          <t>S26U-SI-BP-N</t>
        </is>
      </c>
      <c r="B10" s="3" t="inlineStr">
        <is>
          <t>3D Spider Style Shockproof Silicone Case for Galaxy S26 Ultra – Printed Anti-Drop Protective Back Cover</t>
        </is>
      </c>
      <c r="C10" s="3" t="inlineStr">
        <is>
          <t>Samsung Galaxy S26 Series Spider Style Silicone Printed Case</t>
        </is>
      </c>
      <c r="D10" s="2" t="inlineStr">
        <is>
          <t>Silicone</t>
        </is>
      </c>
      <c r="E10" s="2" t="inlineStr">
        <is>
          <t>Black - printed</t>
        </is>
      </c>
      <c r="F10" s="2" t="inlineStr">
        <is>
          <t>Galaxy S26 Ultra</t>
        </is>
      </c>
      <c r="G10" s="2" t="inlineStr">
        <is>
          <t>No</t>
        </is>
      </c>
      <c r="H10" s="2" t="inlineStr">
        <is>
          <t>No</t>
        </is>
      </c>
      <c r="I10" s="2" t="inlineStr">
        <is>
          <t>Link</t>
        </is>
      </c>
      <c r="J10" s="3" t="inlineStr">
        <is>
          <t>https://moveon.global/BD_en/products/0000000O0R0QIE2O-jit-one-piece-dropshippinggalaxys25-phone-case-semi-managed-s24-fully-managed-s24fe-aliexpress/1AD8304920318534</t>
        </is>
      </c>
      <c r="K10" s="3" t="inlineStr"/>
      <c r="L10" s="4" t="n">
        <v>106.4</v>
      </c>
      <c r="M10" s="4" t="n">
        <v>9.039999999999999</v>
      </c>
      <c r="N10" s="4" t="n">
        <v>54.6</v>
      </c>
      <c r="O10" s="4" t="n">
        <v>2.54</v>
      </c>
      <c r="P10" s="4" t="n">
        <v>11.5</v>
      </c>
      <c r="Q10" s="4" t="n">
        <v>20</v>
      </c>
      <c r="R10" s="4" t="n">
        <v>0</v>
      </c>
      <c r="S10" s="4">
        <f>SUM(L10:R10)</f>
        <v/>
      </c>
      <c r="T10" s="4">
        <f>IF(S10&lt;300, S10*1.4, IF(S10&lt;400, S10*1.33, S10*1.25))</f>
        <v/>
      </c>
      <c r="U10" s="5">
        <f>INT(T10/100)*100 + IF(MOD(ROUND(T10,0),100)&lt;25, 0, IF(MOD(ROUND(T10,0),100)&lt;=74, 49, 99))</f>
        <v/>
      </c>
      <c r="V10" s="4">
        <f>IF(U10&lt;300, 0, MIN(99, IF(U10&lt;500, U10*7%, IF(U10&lt;700, U10*12%, U10*15%))))</f>
        <v/>
      </c>
    </row>
    <row r="11">
      <c r="A11" s="6" t="inlineStr">
        <is>
          <t>T4P-TG-WP-N</t>
        </is>
      </c>
      <c r="B11" s="7" t="inlineStr">
        <is>
          <t>Luxury 9H Tempered Glass Back Cover for Redmi Turbo 4 Pro – Glossy Anti-Scratch Armor Protective Case</t>
        </is>
      </c>
      <c r="C11" s="7" t="inlineStr">
        <is>
          <t>RedmiTurbo 4 Pro Tempered Glass Case – White Glass Shell</t>
        </is>
      </c>
      <c r="D11" s="6" t="inlineStr">
        <is>
          <t>Tempered glass</t>
        </is>
      </c>
      <c r="E11" s="6" t="inlineStr">
        <is>
          <t>White Print</t>
        </is>
      </c>
      <c r="F11" s="6" t="inlineStr">
        <is>
          <t>Redmi Turbo 4 Pro</t>
        </is>
      </c>
      <c r="G11" s="6" t="inlineStr">
        <is>
          <t>No</t>
        </is>
      </c>
      <c r="H11" s="6" t="inlineStr">
        <is>
          <t>No</t>
        </is>
      </c>
      <c r="I11" s="6" t="inlineStr">
        <is>
          <t>Link</t>
        </is>
      </c>
      <c r="J11" s="7" t="inlineStr">
        <is>
          <t>https://moveon.global/BD_en/products/0000000HHR0RE2BI-jit-one-piece-dropshippingsuitable-for-xiaomi17-phone-case-aliexpress-f7-mercado-libre-turbo4-foreign-trade/1AD8397614601637</t>
        </is>
      </c>
      <c r="K11" s="7" t="inlineStr"/>
      <c r="L11" s="8" t="n">
        <v>133</v>
      </c>
      <c r="M11" s="8" t="n">
        <v>11.44</v>
      </c>
      <c r="N11" s="8" t="n">
        <v>56</v>
      </c>
      <c r="O11" s="8" t="n">
        <v>2.54</v>
      </c>
      <c r="P11" s="8" t="n">
        <v>11.5</v>
      </c>
      <c r="Q11" s="8" t="n">
        <v>20</v>
      </c>
      <c r="R11" s="8" t="n">
        <v>0</v>
      </c>
      <c r="S11" s="8">
        <f>SUM(L11:R11)</f>
        <v/>
      </c>
      <c r="T11" s="8">
        <f>IF(S11&lt;300, S11*1.4, IF(S11&lt;400, S11*1.33, S11*1.25))</f>
        <v/>
      </c>
      <c r="U11" s="9">
        <f>INT(T11/100)*100 + IF(MOD(ROUND(T11,0),100)&lt;25, 0, IF(MOD(ROUND(T11,0),100)&lt;=74, 49, 99))</f>
        <v/>
      </c>
      <c r="V11" s="8">
        <f>IF(U11&lt;300, 0, MIN(99, IF(U11&lt;500, U11*7%, IF(U11&lt;700, U11*12%, U11*15%))))</f>
        <v/>
      </c>
    </row>
    <row r="12">
      <c r="A12" s="2" t="inlineStr">
        <is>
          <t>T4P-TG-WP-N</t>
        </is>
      </c>
      <c r="B12" s="3" t="inlineStr">
        <is>
          <t>Luxury 9H Tempered Glass Back Cover for Redmi Turbo 4 Pro – Glossy Anti-Scratch Armor Protective Case</t>
        </is>
      </c>
      <c r="C12" s="3" t="inlineStr">
        <is>
          <t>RedmiTurbo 4 Pro Tempered Glass Case – White Glass Shell</t>
        </is>
      </c>
      <c r="D12" s="2" t="inlineStr">
        <is>
          <t>Tempered glass</t>
        </is>
      </c>
      <c r="E12" s="2" t="inlineStr">
        <is>
          <t>White Print</t>
        </is>
      </c>
      <c r="F12" s="2" t="inlineStr">
        <is>
          <t>Redmi Turbo 4 Pro</t>
        </is>
      </c>
      <c r="G12" s="2" t="inlineStr">
        <is>
          <t>No</t>
        </is>
      </c>
      <c r="H12" s="2" t="inlineStr">
        <is>
          <t>No</t>
        </is>
      </c>
      <c r="I12" s="2" t="inlineStr">
        <is>
          <t>Link</t>
        </is>
      </c>
      <c r="J12" s="3" t="inlineStr">
        <is>
          <t>https://moveon.global/BD_en/products/0000000HHR0RE2BI-jit-one-piece-dropshippingsuitable-for-xiaomi17-phone-case-aliexpress-f7-mercado-libre-turbo4-foreign-trade/1AD8397614601637</t>
        </is>
      </c>
      <c r="K12" s="3" t="inlineStr"/>
      <c r="L12" s="4" t="n">
        <v>133</v>
      </c>
      <c r="M12" s="4" t="n">
        <v>11.44</v>
      </c>
      <c r="N12" s="4" t="n">
        <v>56</v>
      </c>
      <c r="O12" s="4" t="n">
        <v>2.54</v>
      </c>
      <c r="P12" s="4" t="n">
        <v>11.5</v>
      </c>
      <c r="Q12" s="4" t="n">
        <v>20</v>
      </c>
      <c r="R12" s="4" t="n">
        <v>0</v>
      </c>
      <c r="S12" s="4">
        <f>SUM(L12:R12)</f>
        <v/>
      </c>
      <c r="T12" s="4">
        <f>IF(S12&lt;300, S12*1.4, IF(S12&lt;400, S12*1.33, S12*1.25))</f>
        <v/>
      </c>
      <c r="U12" s="5">
        <f>INT(T12/100)*100 + IF(MOD(ROUND(T12,0),100)&lt;25, 0, IF(MOD(ROUND(T12,0),100)&lt;=74, 49, 99))</f>
        <v/>
      </c>
      <c r="V12" s="4">
        <f>IF(U12&lt;300, 0, MIN(99, IF(U12&lt;500, U12*7%, IF(U12&lt;700, U12*12%, U12*15%))))</f>
        <v/>
      </c>
    </row>
    <row r="13">
      <c r="A13" s="6" t="inlineStr">
        <is>
          <t>T4P-TG-WP-N</t>
        </is>
      </c>
      <c r="B13" s="7" t="inlineStr">
        <is>
          <t>Luxury 9H Tempered Glass Back Cover for Redmi Turbo 4 Pro – Glossy Anti-Scratch Armor Protective Case</t>
        </is>
      </c>
      <c r="C13" s="7" t="inlineStr">
        <is>
          <t>Redmi Turbo 4 Pro Tempered Glass Case – White Glass Shell</t>
        </is>
      </c>
      <c r="D13" s="6" t="inlineStr">
        <is>
          <t>Tempered glass</t>
        </is>
      </c>
      <c r="E13" s="6" t="inlineStr">
        <is>
          <t>White Print</t>
        </is>
      </c>
      <c r="F13" s="6" t="inlineStr">
        <is>
          <t>Redmi Turbo 4 Pro</t>
        </is>
      </c>
      <c r="G13" s="6" t="inlineStr">
        <is>
          <t>No</t>
        </is>
      </c>
      <c r="H13" s="6" t="inlineStr">
        <is>
          <t>No</t>
        </is>
      </c>
      <c r="I13" s="6" t="inlineStr">
        <is>
          <t>Link</t>
        </is>
      </c>
      <c r="J13" s="7" t="inlineStr">
        <is>
          <t>https://moveon.global/BD_en/products/0000000HHR0RE2BI-jit-one-piece-dropshippingsuitable-for-xiaomi17-phone-case-aliexpress-f7-mercado-libre-turbo4-foreign-trade/1AD8397614601637</t>
        </is>
      </c>
      <c r="K13" s="7" t="inlineStr"/>
      <c r="L13" s="8" t="n">
        <v>133</v>
      </c>
      <c r="M13" s="8" t="n">
        <v>11.44</v>
      </c>
      <c r="N13" s="8" t="n">
        <v>56</v>
      </c>
      <c r="O13" s="8" t="n">
        <v>2.54</v>
      </c>
      <c r="P13" s="8" t="n">
        <v>11.5</v>
      </c>
      <c r="Q13" s="8" t="n">
        <v>20</v>
      </c>
      <c r="R13" s="8" t="n">
        <v>0</v>
      </c>
      <c r="S13" s="8">
        <f>SUM(L13:R13)</f>
        <v/>
      </c>
      <c r="T13" s="8">
        <f>IF(S13&lt;300, S13*1.4, IF(S13&lt;400, S13*1.33, S13*1.25))</f>
        <v/>
      </c>
      <c r="U13" s="9">
        <f>INT(T13/100)*100 + IF(MOD(ROUND(T13,0),100)&lt;25, 0, IF(MOD(ROUND(T13,0),100)&lt;=74, 49, 99))</f>
        <v/>
      </c>
      <c r="V13" s="8">
        <f>IF(U13&lt;300, 0, MIN(99, IF(U13&lt;500, U13*7%, IF(U13&lt;700, U13*12%, U13*15%))))</f>
        <v/>
      </c>
    </row>
    <row r="14">
      <c r="A14" s="2" t="inlineStr">
        <is>
          <t>T4P-TG-WP-N</t>
        </is>
      </c>
      <c r="B14" s="3" t="inlineStr">
        <is>
          <t>Luxury 9H Tempered Glass Back Cover for Redmi Turbo 4 Pro – Glossy Anti-Scratch Armor Protective Case</t>
        </is>
      </c>
      <c r="C14" s="3" t="inlineStr">
        <is>
          <t>Redmi Turbo 4 Pro Tempered Glass Case – White Glass Shell</t>
        </is>
      </c>
      <c r="D14" s="2" t="inlineStr">
        <is>
          <t>Tempered glass</t>
        </is>
      </c>
      <c r="E14" s="2" t="inlineStr">
        <is>
          <t>White Print</t>
        </is>
      </c>
      <c r="F14" s="2" t="inlineStr">
        <is>
          <t>Redmi Turbo 4 Pro</t>
        </is>
      </c>
      <c r="G14" s="2" t="inlineStr">
        <is>
          <t>No</t>
        </is>
      </c>
      <c r="H14" s="2" t="inlineStr">
        <is>
          <t>No</t>
        </is>
      </c>
      <c r="I14" s="2" t="inlineStr">
        <is>
          <t>Link</t>
        </is>
      </c>
      <c r="J14" s="3" t="inlineStr">
        <is>
          <t>https://moveon.global/BD_en/products/0000000HHR0RE2BI-jit-one-piece-dropshippingsuitable-for-xiaomi17-phone-case-aliexpress-f7-mercado-libre-turbo4-foreign-trade/1AD8397614601637</t>
        </is>
      </c>
      <c r="K14" s="3" t="inlineStr"/>
      <c r="L14" s="4" t="n">
        <v>133</v>
      </c>
      <c r="M14" s="4" t="n">
        <v>11.44</v>
      </c>
      <c r="N14" s="4" t="n">
        <v>56</v>
      </c>
      <c r="O14" s="4" t="n">
        <v>2.54</v>
      </c>
      <c r="P14" s="4" t="n">
        <v>11.5</v>
      </c>
      <c r="Q14" s="4" t="n">
        <v>20</v>
      </c>
      <c r="R14" s="4" t="n">
        <v>0</v>
      </c>
      <c r="S14" s="4">
        <f>SUM(L14:R14)</f>
        <v/>
      </c>
      <c r="T14" s="4">
        <f>IF(S14&lt;300, S14*1.4, IF(S14&lt;400, S14*1.33, S14*1.25))</f>
        <v/>
      </c>
      <c r="U14" s="5">
        <f>INT(T14/100)*100 + IF(MOD(ROUND(T14,0),100)&lt;25, 0, IF(MOD(ROUND(T14,0),100)&lt;=74, 49, 99))</f>
        <v/>
      </c>
      <c r="V14" s="4">
        <f>IF(U14&lt;300, 0, MIN(99, IF(U14&lt;500, U14*7%, IF(U14&lt;700, U14*12%, U14*15%))))</f>
        <v/>
      </c>
    </row>
    <row r="15">
      <c r="A15" s="6" t="inlineStr">
        <is>
          <t>H600-SKn-G-N</t>
        </is>
      </c>
      <c r="B15" s="7" t="inlineStr">
        <is>
          <t>Ultra-Thin Matte Skin Protective Case for Honor 600 – Lightweight Anti-Fingerprint Back Cover</t>
        </is>
      </c>
      <c r="C15" s="7" t="inlineStr">
        <is>
          <t>Honor 600 Skin Protective Case</t>
        </is>
      </c>
      <c r="D15" s="6" t="inlineStr">
        <is>
          <t>Skin</t>
        </is>
      </c>
      <c r="E15" s="6" t="inlineStr">
        <is>
          <t>Grey</t>
        </is>
      </c>
      <c r="F15" s="6" t="inlineStr">
        <is>
          <t>Honor 600</t>
        </is>
      </c>
      <c r="G15" s="6" t="inlineStr">
        <is>
          <t>No</t>
        </is>
      </c>
      <c r="H15" s="6" t="inlineStr">
        <is>
          <t>No</t>
        </is>
      </c>
      <c r="I15" s="6" t="inlineStr">
        <is>
          <t>Link</t>
        </is>
      </c>
      <c r="J15" s="7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K15" s="7" t="inlineStr"/>
      <c r="L15" s="8" t="n">
        <v>146.3</v>
      </c>
      <c r="M15" s="8" t="n">
        <v>79.8</v>
      </c>
      <c r="N15" s="8" t="n">
        <v>87.5</v>
      </c>
      <c r="O15" s="8" t="n">
        <v>5.09</v>
      </c>
      <c r="P15" s="8" t="n">
        <v>11.5</v>
      </c>
      <c r="Q15" s="8" t="n">
        <v>20</v>
      </c>
      <c r="R15" s="8" t="n">
        <v>0</v>
      </c>
      <c r="S15" s="8">
        <f>SUM(L15:R15)</f>
        <v/>
      </c>
      <c r="T15" s="8">
        <f>IF(S15&lt;300, S15*1.4, IF(S15&lt;400, S15*1.33, S15*1.25))</f>
        <v/>
      </c>
      <c r="U15" s="9">
        <f>INT(T15/100)*100 + IF(MOD(ROUND(T15,0),100)&lt;25, 0, IF(MOD(ROUND(T15,0),100)&lt;=74, 49, 99))</f>
        <v/>
      </c>
      <c r="V15" s="8">
        <f>IF(U15&lt;300, 0, MIN(99, IF(U15&lt;500, U15*7%, IF(U15&lt;700, U15*12%, U15*15%))))</f>
        <v/>
      </c>
    </row>
    <row r="16">
      <c r="A16" s="2" t="inlineStr">
        <is>
          <t>H600P-SKn-G-N</t>
        </is>
      </c>
      <c r="B16" s="3" t="inlineStr">
        <is>
          <t>Ultra-Thin Matte Skin Protective Case for Honor 600 Pro – Lightweight Anti-Fingerprint Back Cover</t>
        </is>
      </c>
      <c r="C16" s="3" t="inlineStr">
        <is>
          <t>Honor 600 Pro Skin Protective Case</t>
        </is>
      </c>
      <c r="D16" s="2" t="inlineStr">
        <is>
          <t>Skin</t>
        </is>
      </c>
      <c r="E16" s="2" t="inlineStr">
        <is>
          <t>Grey</t>
        </is>
      </c>
      <c r="F16" s="2" t="inlineStr">
        <is>
          <t>Honor 600 Pro</t>
        </is>
      </c>
      <c r="G16" s="2" t="inlineStr">
        <is>
          <t>No</t>
        </is>
      </c>
      <c r="H16" s="2" t="inlineStr">
        <is>
          <t>No</t>
        </is>
      </c>
      <c r="I16" s="2" t="inlineStr">
        <is>
          <t>Link</t>
        </is>
      </c>
      <c r="J16" s="3" t="inlineStr">
        <is>
          <t>https://moveon.global/BD_en/products/000000074X6RUVK3-suitable-for-honor-600-phone-case-honor-600-pro-international-version-carbon-fiber-pattern-leather-protective-cover-back-shell-type/1AD8348014988676</t>
        </is>
      </c>
      <c r="K16" s="3" t="inlineStr"/>
      <c r="L16" s="4" t="n">
        <v>146.3</v>
      </c>
      <c r="M16" s="4" t="n">
        <v>79.8</v>
      </c>
      <c r="N16" s="4" t="n">
        <v>87.5</v>
      </c>
      <c r="O16" s="4" t="n">
        <v>5.09</v>
      </c>
      <c r="P16" s="4" t="n">
        <v>11.5</v>
      </c>
      <c r="Q16" s="4" t="n">
        <v>20</v>
      </c>
      <c r="R16" s="4" t="n">
        <v>0</v>
      </c>
      <c r="S16" s="4">
        <f>SUM(L16:R16)</f>
        <v/>
      </c>
      <c r="T16" s="4">
        <f>IF(S16&lt;300, S16*1.4, IF(S16&lt;400, S16*1.33, S16*1.25))</f>
        <v/>
      </c>
      <c r="U16" s="5">
        <f>INT(T16/100)*100 + IF(MOD(ROUND(T16,0),100)&lt;25, 0, IF(MOD(ROUND(T16,0),100)&lt;=74, 49, 99))</f>
        <v/>
      </c>
      <c r="V16" s="4">
        <f>IF(U16&lt;300, 0, MIN(99, IF(U16&lt;500, U16*7%, IF(U16&lt;700, U16*12%, U16*15%))))</f>
        <v/>
      </c>
    </row>
    <row r="17">
      <c r="A17" s="6" t="inlineStr">
        <is>
          <t>S26U-MI-B-N</t>
        </is>
      </c>
      <c r="B17" s="7" t="inlineStr">
        <is>
          <t>Magnetic Invisible Stand Armor Case for Samsung Galaxy S26 Ultra – Heavy Duty Metal Lens Frame Hybrid Back Cover</t>
        </is>
      </c>
      <c r="C17" s="7" t="inlineStr">
        <is>
          <t>Samsung Galaxy S26 Ultra Magnetic Invisible Bracket</t>
        </is>
      </c>
      <c r="D17" s="6" t="inlineStr">
        <is>
          <t>Metal lens frame Acrylic / TPU</t>
        </is>
      </c>
      <c r="E17" s="6" t="inlineStr">
        <is>
          <t>Black – Magnetic Invisible Bracket</t>
        </is>
      </c>
      <c r="F17" s="6" t="inlineStr">
        <is>
          <t>Samsung Galaxy S26 Ultra</t>
        </is>
      </c>
      <c r="G17" s="6" t="inlineStr">
        <is>
          <t>No</t>
        </is>
      </c>
      <c r="H17" s="6" t="inlineStr">
        <is>
          <t>No</t>
        </is>
      </c>
      <c r="I17" s="6" t="inlineStr">
        <is>
          <t>Link</t>
        </is>
      </c>
      <c r="J17" s="7" t="inlineStr">
        <is>
          <t>https://moveon.global/BD_en/products/0000000PWJ01ZSK1-metal-invisible-lens-bracket-suitable-for-samsung-s26ultra-magnetic-phone-case-s25fe-transparent-s24plus-case/1AC5307428543960</t>
        </is>
      </c>
      <c r="K17" s="7" t="inlineStr"/>
      <c r="L17" s="8" t="n">
        <v>265.74</v>
      </c>
      <c r="M17" s="8" t="n">
        <v>50.2</v>
      </c>
      <c r="N17" s="8" t="n">
        <v>80</v>
      </c>
      <c r="O17" s="8" t="n">
        <v>5.09</v>
      </c>
      <c r="P17" s="8" t="n">
        <v>11.5</v>
      </c>
      <c r="Q17" s="8" t="n">
        <v>20</v>
      </c>
      <c r="R17" s="8" t="n">
        <v>0</v>
      </c>
      <c r="S17" s="8">
        <f>SUM(L17:R17)</f>
        <v/>
      </c>
      <c r="T17" s="8">
        <f>IF(S17&lt;300, S17*1.4, IF(S17&lt;400, S17*1.33, S17*1.25))</f>
        <v/>
      </c>
      <c r="U17" s="9">
        <f>INT(T17/100)*100 + IF(MOD(ROUND(T17,0),100)&lt;25, 0, IF(MOD(ROUND(T17,0),100)&lt;=74, 49, 99))</f>
        <v/>
      </c>
      <c r="V17" s="8">
        <f>IF(U17&lt;300, 0, MIN(99, IF(U17&lt;500, U17*7%, IF(U17&lt;700, U17*12%, U17*15%))))</f>
        <v/>
      </c>
    </row>
    <row r="18">
      <c r="A18" s="2" t="inlineStr">
        <is>
          <t>18P-AC-M-R-N</t>
        </is>
      </c>
      <c r="B18" s="3" t="inlineStr">
        <is>
          <t>Luxury Magnetic Clear Acrylic Case for iPhone 18 Pro – Anti-Yellow Shockproof Hard Hybrid Back Cover</t>
        </is>
      </c>
      <c r="C18" s="3" t="inlineStr">
        <is>
          <t>iPhone 18 Pro Magnetic Acrylic Case</t>
        </is>
      </c>
      <c r="D18" s="2" t="inlineStr">
        <is>
          <t>Acrylic</t>
        </is>
      </c>
      <c r="E18" s="2" t="inlineStr">
        <is>
          <t>Wine Red</t>
        </is>
      </c>
      <c r="F18" s="2" t="inlineStr">
        <is>
          <t>iPhone 18 Pro</t>
        </is>
      </c>
      <c r="G18" s="2" t="inlineStr">
        <is>
          <t>No</t>
        </is>
      </c>
      <c r="H18" s="2" t="inlineStr">
        <is>
          <t>No</t>
        </is>
      </c>
      <c r="I18" s="2" t="inlineStr">
        <is>
          <t>Link</t>
        </is>
      </c>
      <c r="J18" s="3" t="inlineStr">
        <is>
          <t>https://moveon.global/BD_en/products/0000000XI6T00NZT-suitable-for-apple-18promax-phone-case-magnetic-transparent-iphone17-acrylic-silicone-solid-color-skin-feel-frame/1AD8357853016175</t>
        </is>
      </c>
      <c r="K18" s="3" t="inlineStr"/>
      <c r="L18" s="4" t="n">
        <v>87.25</v>
      </c>
      <c r="M18" s="4" t="n">
        <v>16.55</v>
      </c>
      <c r="N18" s="4" t="n">
        <v>81.59999999999999</v>
      </c>
      <c r="O18" s="4" t="n">
        <v>5.09</v>
      </c>
      <c r="P18" s="4" t="n">
        <v>11.5</v>
      </c>
      <c r="Q18" s="4" t="n">
        <v>20</v>
      </c>
      <c r="R18" s="4" t="n">
        <v>0</v>
      </c>
      <c r="S18" s="4">
        <f>SUM(L18:R18)</f>
        <v/>
      </c>
      <c r="T18" s="4">
        <f>IF(S18&lt;300, S18*1.4, IF(S18&lt;400, S18*1.33, S18*1.25))</f>
        <v/>
      </c>
      <c r="U18" s="5">
        <f>INT(T18/100)*100 + IF(MOD(ROUND(T18,0),100)&lt;25, 0, IF(MOD(ROUND(T18,0),100)&lt;=74, 49, 99))</f>
        <v/>
      </c>
      <c r="V18" s="4">
        <f>IF(U18&lt;300, 0, MIN(99, IF(U18&lt;500, U18*7%, IF(U18&lt;700, U18*12%, U18*15%))))</f>
        <v/>
      </c>
    </row>
    <row r="19">
      <c r="A19" s="6" t="inlineStr">
        <is>
          <t>18PM-AC-M-R-N</t>
        </is>
      </c>
      <c r="B19" s="7" t="inlineStr">
        <is>
          <t>Luxury Magnetic Clear Acrylic Case for iPhone 18 Pro Max – Anti-Yellow Shockproof Hard Hybrid Back Cover</t>
        </is>
      </c>
      <c r="C19" s="7" t="inlineStr">
        <is>
          <t>iPhone 18  Pro Max Magnetic Acrylic Case</t>
        </is>
      </c>
      <c r="D19" s="6" t="inlineStr">
        <is>
          <t>Acrylic</t>
        </is>
      </c>
      <c r="E19" s="6" t="inlineStr">
        <is>
          <t>Wine Red</t>
        </is>
      </c>
      <c r="F19" s="6" t="inlineStr">
        <is>
          <t>iPhone 18 Pro Max</t>
        </is>
      </c>
      <c r="G19" s="6" t="inlineStr">
        <is>
          <t>No</t>
        </is>
      </c>
      <c r="H19" s="6" t="inlineStr">
        <is>
          <t>No</t>
        </is>
      </c>
      <c r="I19" s="6" t="inlineStr">
        <is>
          <t>Link</t>
        </is>
      </c>
      <c r="J19" s="7" t="inlineStr">
        <is>
          <t>https://moveon.global/BD_en/products/0000000XI6T00NZT-suitable-for-apple-18promax-phone-case-magnetic-transparent-iphone17-acrylic-silicone-solid-color-skin-feel-frame/1AD8357853016175</t>
        </is>
      </c>
      <c r="K19" s="7" t="inlineStr"/>
      <c r="L19" s="8" t="n">
        <v>87.25</v>
      </c>
      <c r="M19" s="8" t="n">
        <v>16.55</v>
      </c>
      <c r="N19" s="8" t="n">
        <v>81.59999999999999</v>
      </c>
      <c r="O19" s="8" t="n">
        <v>5.09</v>
      </c>
      <c r="P19" s="8" t="n">
        <v>11.5</v>
      </c>
      <c r="Q19" s="8" t="n">
        <v>20</v>
      </c>
      <c r="R19" s="8" t="n">
        <v>0</v>
      </c>
      <c r="S19" s="8">
        <f>SUM(L19:R19)</f>
        <v/>
      </c>
      <c r="T19" s="8">
        <f>IF(S19&lt;300, S19*1.4, IF(S19&lt;400, S19*1.33, S19*1.25))</f>
        <v/>
      </c>
      <c r="U19" s="9">
        <f>INT(T19/100)*100 + IF(MOD(ROUND(T19,0),100)&lt;25, 0, IF(MOD(ROUND(T19,0),100)&lt;=74, 49, 99))</f>
        <v/>
      </c>
      <c r="V19" s="8">
        <f>IF(U19&lt;300, 0, MIN(99, IF(U19&lt;500, U19*7%, IF(U19&lt;700, U19*12%, U19*15%))))</f>
        <v/>
      </c>
    </row>
    <row r="20">
      <c r="A20" s="2" t="inlineStr">
        <is>
          <t>18PM-AC-M-B-N</t>
        </is>
      </c>
      <c r="B20" s="3" t="inlineStr">
        <is>
          <t>Luxury Magnetic Clear Acrylic Case for iPhone 18 Pro – Anti-Yellow Shockproof Hard Hybrid Back Cover</t>
        </is>
      </c>
      <c r="C20" s="3" t="inlineStr">
        <is>
          <t>iPhone 18  Pro  Magnetic Acrylic Case</t>
        </is>
      </c>
      <c r="D20" s="2" t="inlineStr">
        <is>
          <t>Acrylic</t>
        </is>
      </c>
      <c r="E20" s="2" t="inlineStr">
        <is>
          <t>Black</t>
        </is>
      </c>
      <c r="F20" s="2" t="inlineStr">
        <is>
          <t>iPhone 18 Pro</t>
        </is>
      </c>
      <c r="G20" s="2" t="inlineStr">
        <is>
          <t>No</t>
        </is>
      </c>
      <c r="H20" s="2" t="inlineStr">
        <is>
          <t>No</t>
        </is>
      </c>
      <c r="I20" s="2" t="inlineStr">
        <is>
          <t>Link</t>
        </is>
      </c>
      <c r="J20" s="3" t="inlineStr">
        <is>
          <t>https://moveon.global/BD_en/products/0000000XI6T00NZT-suitable-for-apple-18promax-phone-case-magnetic-transparent-iphone17-acrylic-silicone-solid-color-skin-feel-frame/1AD8357853016175</t>
        </is>
      </c>
      <c r="K20" s="3" t="inlineStr"/>
      <c r="L20" s="4" t="n">
        <v>87.25</v>
      </c>
      <c r="M20" s="4" t="n">
        <v>16.55</v>
      </c>
      <c r="N20" s="4" t="n">
        <v>81.59999999999999</v>
      </c>
      <c r="O20" s="4" t="n">
        <v>5.09</v>
      </c>
      <c r="P20" s="4" t="n">
        <v>11.5</v>
      </c>
      <c r="Q20" s="4" t="n">
        <v>20</v>
      </c>
      <c r="R20" s="4" t="n">
        <v>0</v>
      </c>
      <c r="S20" s="4">
        <f>SUM(L20:R20)</f>
        <v/>
      </c>
      <c r="T20" s="4">
        <f>IF(S20&lt;300, S20*1.4, IF(S20&lt;400, S20*1.33, S20*1.25))</f>
        <v/>
      </c>
      <c r="U20" s="5">
        <f>INT(T20/100)*100 + IF(MOD(ROUND(T20,0),100)&lt;25, 0, IF(MOD(ROUND(T20,0),100)&lt;=74, 49, 99))</f>
        <v/>
      </c>
      <c r="V20" s="4">
        <f>IF(U20&lt;300, 0, MIN(99, IF(U20&lt;500, U20*7%, IF(U20&lt;700, U20*12%, U20*15%))))</f>
        <v/>
      </c>
    </row>
    <row r="21">
      <c r="A21" s="6" t="inlineStr">
        <is>
          <t>17PM-AC-M-O-N</t>
        </is>
      </c>
      <c r="B21" s="7" t="inlineStr">
        <is>
          <t>Luxury Magnetic Clear Acrylic Case for iPhone 17 Pro Max – Anti-Yellow Shockproof Hard Hybrid Back Cover</t>
        </is>
      </c>
      <c r="C21" s="7" t="inlineStr">
        <is>
          <t>iPhone 17 Pro Max Magnetic Acrylic Case</t>
        </is>
      </c>
      <c r="D21" s="6" t="inlineStr">
        <is>
          <t>Acrylic</t>
        </is>
      </c>
      <c r="E21" s="6" t="inlineStr">
        <is>
          <t>Orange</t>
        </is>
      </c>
      <c r="F21" s="6" t="inlineStr">
        <is>
          <t>iPhone 17 Pro Max</t>
        </is>
      </c>
      <c r="G21" s="6" t="inlineStr">
        <is>
          <t>No</t>
        </is>
      </c>
      <c r="H21" s="6" t="inlineStr">
        <is>
          <t>No</t>
        </is>
      </c>
      <c r="I21" s="6" t="inlineStr">
        <is>
          <t>Link</t>
        </is>
      </c>
      <c r="J21" s="7" t="inlineStr">
        <is>
          <t>https://moveon.global/BD_en/products/0000000XI6T00NZT-suitable-for-apple-18promax-phone-case-magnetic-transparent-iphone17-acrylic-silicone-solid-color-skin-feel-frame/1AD8357853016175</t>
        </is>
      </c>
      <c r="K21" s="7" t="inlineStr"/>
      <c r="L21" s="8" t="n">
        <v>87.25</v>
      </c>
      <c r="M21" s="8" t="n">
        <v>16.55</v>
      </c>
      <c r="N21" s="8" t="n">
        <v>81.59999999999999</v>
      </c>
      <c r="O21" s="8" t="n">
        <v>5.09</v>
      </c>
      <c r="P21" s="8" t="n">
        <v>11.5</v>
      </c>
      <c r="Q21" s="8" t="n">
        <v>20</v>
      </c>
      <c r="R21" s="8" t="n">
        <v>0</v>
      </c>
      <c r="S21" s="8">
        <f>SUM(L21:R21)</f>
        <v/>
      </c>
      <c r="T21" s="8">
        <f>IF(S21&lt;300, S21*1.4, IF(S21&lt;400, S21*1.33, S21*1.25))</f>
        <v/>
      </c>
      <c r="U21" s="9">
        <f>INT(T21/100)*100 + IF(MOD(ROUND(T21,0),100)&lt;25, 0, IF(MOD(ROUND(T21,0),100)&lt;=74, 49, 99))</f>
        <v/>
      </c>
      <c r="V21" s="8">
        <f>IF(U21&lt;300, 0, MIN(99, IF(U21&lt;500, U21*7%, IF(U21&lt;700, U21*12%, U21*15%))))</f>
        <v/>
      </c>
    </row>
    <row r="22">
      <c r="A22" s="2" t="inlineStr">
        <is>
          <t>17PM-AC-M-PK-N</t>
        </is>
      </c>
      <c r="B22" s="3" t="inlineStr">
        <is>
          <t>Luxury Magnetic Clear Acrylic Case for iPhone 17 Pro Max – Anti-Yellow Shockproof Hard Hybrid Back Cover</t>
        </is>
      </c>
      <c r="C22" s="3" t="inlineStr">
        <is>
          <t>iPhone 17 Pro Max Magnetic Acrylic Case</t>
        </is>
      </c>
      <c r="D22" s="2" t="inlineStr">
        <is>
          <t>Acrylic</t>
        </is>
      </c>
      <c r="E22" s="2" t="inlineStr">
        <is>
          <t>Pink</t>
        </is>
      </c>
      <c r="F22" s="2" t="inlineStr">
        <is>
          <t>iPhone 17 Pro Max</t>
        </is>
      </c>
      <c r="G22" s="2" t="inlineStr">
        <is>
          <t>No</t>
        </is>
      </c>
      <c r="H22" s="2" t="inlineStr">
        <is>
          <t>No</t>
        </is>
      </c>
      <c r="I22" s="2" t="inlineStr">
        <is>
          <t>Link</t>
        </is>
      </c>
      <c r="J22" s="3" t="inlineStr">
        <is>
          <t>https://moveon.global/BD_en/products/0000000XI6T00NZT-suitable-for-apple-18promax-phone-case-magnetic-transparent-iphone17-acrylic-silicone-solid-color-skin-feel-frame/1AD8357853016175</t>
        </is>
      </c>
      <c r="K22" s="3" t="inlineStr"/>
      <c r="L22" s="4" t="n">
        <v>87.25</v>
      </c>
      <c r="M22" s="4" t="n">
        <v>16.55</v>
      </c>
      <c r="N22" s="4" t="n">
        <v>81.59999999999999</v>
      </c>
      <c r="O22" s="4" t="n">
        <v>5.09</v>
      </c>
      <c r="P22" s="4" t="n">
        <v>11.5</v>
      </c>
      <c r="Q22" s="4" t="n">
        <v>20</v>
      </c>
      <c r="R22" s="4" t="n">
        <v>0</v>
      </c>
      <c r="S22" s="4">
        <f>SUM(L22:R22)</f>
        <v/>
      </c>
      <c r="T22" s="4">
        <f>IF(S22&lt;300, S22*1.4, IF(S22&lt;400, S22*1.33, S22*1.25))</f>
        <v/>
      </c>
      <c r="U22" s="5">
        <f>INT(T22/100)*100 + IF(MOD(ROUND(T22,0),100)&lt;25, 0, IF(MOD(ROUND(T22,0),100)&lt;=74, 49, 99))</f>
        <v/>
      </c>
      <c r="V22" s="4">
        <f>IF(U22&lt;300, 0, MIN(99, IF(U22&lt;500, U22*7%, IF(U22&lt;700, U22*12%, U22*15%))))</f>
        <v/>
      </c>
    </row>
    <row r="23">
      <c r="A23" s="6" t="inlineStr">
        <is>
          <t>18PM-HS-S-N</t>
        </is>
      </c>
      <c r="B23" s="7" t="inlineStr">
        <is>
          <t>Ultra-Slim Matte Hard Case with Camera Lens Protector for iPhone 18 Pro Max – Luxury Anti-Scratch Protective Back Cover</t>
        </is>
      </c>
      <c r="C23" s="7" t="inlineStr">
        <is>
          <t>iPhone 18 Pro Max Hard Shell Case with Lens Film</t>
        </is>
      </c>
      <c r="D23" s="6" t="inlineStr">
        <is>
          <t>PCs</t>
        </is>
      </c>
      <c r="E23" s="6" t="inlineStr">
        <is>
          <t>Elegant Silver</t>
        </is>
      </c>
      <c r="F23" s="6" t="inlineStr">
        <is>
          <t>iPhone 18 Pro Max</t>
        </is>
      </c>
      <c r="G23" s="6" t="inlineStr">
        <is>
          <t>No</t>
        </is>
      </c>
      <c r="H23" s="6" t="inlineStr">
        <is>
          <t>No</t>
        </is>
      </c>
      <c r="I23" s="6" t="inlineStr">
        <is>
          <t>Link</t>
        </is>
      </c>
      <c r="J23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K23" s="7" t="inlineStr"/>
      <c r="L23" s="8" t="n">
        <v>119.7</v>
      </c>
      <c r="M23" s="8" t="n">
        <v>8.75</v>
      </c>
      <c r="N23" s="8" t="n">
        <v>38</v>
      </c>
      <c r="O23" s="8" t="n">
        <v>2.54</v>
      </c>
      <c r="P23" s="8" t="n">
        <v>11.5</v>
      </c>
      <c r="Q23" s="8" t="n">
        <v>20</v>
      </c>
      <c r="R23" s="8" t="n">
        <v>0</v>
      </c>
      <c r="S23" s="8">
        <f>SUM(L23:R23)</f>
        <v/>
      </c>
      <c r="T23" s="8">
        <f>IF(S23&lt;300, S23*1.4, IF(S23&lt;400, S23*1.33, S23*1.25))</f>
        <v/>
      </c>
      <c r="U23" s="9">
        <f>INT(T23/100)*100 + IF(MOD(ROUND(T23,0),100)&lt;25, 0, IF(MOD(ROUND(T23,0),100)&lt;=74, 49, 99))</f>
        <v/>
      </c>
      <c r="V23" s="8">
        <f>IF(U23&lt;300, 0, MIN(99, IF(U23&lt;500, U23*7%, IF(U23&lt;700, U23*12%, U23*15%))))</f>
        <v/>
      </c>
    </row>
    <row r="24">
      <c r="A24" s="2" t="inlineStr">
        <is>
          <t>18P-HS-S-N</t>
        </is>
      </c>
      <c r="B24" s="3" t="inlineStr">
        <is>
          <t>Ultra-Slim Matte Hard Case with Camera Lens Protector for iPhone 18 Pro – Luxury Anti-Scratch Protective Back Cover</t>
        </is>
      </c>
      <c r="C24" s="3" t="inlineStr">
        <is>
          <t>iPhone 18 Pro Hard Shell Case with Lens Film</t>
        </is>
      </c>
      <c r="D24" s="2" t="inlineStr">
        <is>
          <t>PCs</t>
        </is>
      </c>
      <c r="E24" s="2" t="inlineStr">
        <is>
          <t>Elegant Silver</t>
        </is>
      </c>
      <c r="F24" s="2" t="inlineStr">
        <is>
          <t>iPhone 18 Pro</t>
        </is>
      </c>
      <c r="G24" s="2" t="inlineStr">
        <is>
          <t>No</t>
        </is>
      </c>
      <c r="H24" s="2" t="inlineStr">
        <is>
          <t>No</t>
        </is>
      </c>
      <c r="I24" s="2" t="inlineStr">
        <is>
          <t>Link</t>
        </is>
      </c>
      <c r="J24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K24" s="3" t="inlineStr"/>
      <c r="L24" s="4" t="n">
        <v>119.7</v>
      </c>
      <c r="M24" s="4" t="n">
        <v>8.75</v>
      </c>
      <c r="N24" s="4" t="n">
        <v>38</v>
      </c>
      <c r="O24" s="4" t="n">
        <v>2.54</v>
      </c>
      <c r="P24" s="4" t="n">
        <v>11.5</v>
      </c>
      <c r="Q24" s="4" t="n">
        <v>20</v>
      </c>
      <c r="R24" s="4" t="n">
        <v>0</v>
      </c>
      <c r="S24" s="4">
        <f>SUM(L24:R24)</f>
        <v/>
      </c>
      <c r="T24" s="4">
        <f>IF(S24&lt;300, S24*1.4, IF(S24&lt;400, S24*1.33, S24*1.25))</f>
        <v/>
      </c>
      <c r="U24" s="5">
        <f>INT(T24/100)*100 + IF(MOD(ROUND(T24,0),100)&lt;25, 0, IF(MOD(ROUND(T24,0),100)&lt;=74, 49, 99))</f>
        <v/>
      </c>
      <c r="V24" s="4">
        <f>IF(U24&lt;300, 0, MIN(99, IF(U24&lt;500, U24*7%, IF(U24&lt;700, U24*12%, U24*15%))))</f>
        <v/>
      </c>
    </row>
    <row r="25">
      <c r="A25" s="6" t="inlineStr">
        <is>
          <t>17PM-HS-S-N</t>
        </is>
      </c>
      <c r="B25" s="7" t="inlineStr">
        <is>
          <t>Ultra-Slim Matte Hard Case with Camera Lens Protector for iPhone 17 Pro Max – Luxury Anti-Scratch Protective Back Cover</t>
        </is>
      </c>
      <c r="C25" s="7" t="inlineStr">
        <is>
          <t>iPhone 17 Pro Max Hard Shell Case with Lens Film</t>
        </is>
      </c>
      <c r="D25" s="6" t="inlineStr">
        <is>
          <t>PCs</t>
        </is>
      </c>
      <c r="E25" s="6" t="inlineStr">
        <is>
          <t>Elegant Silver</t>
        </is>
      </c>
      <c r="F25" s="6" t="inlineStr">
        <is>
          <t>iPhone 17 Pro Max</t>
        </is>
      </c>
      <c r="G25" s="6" t="inlineStr">
        <is>
          <t>No</t>
        </is>
      </c>
      <c r="H25" s="6" t="inlineStr">
        <is>
          <t>No</t>
        </is>
      </c>
      <c r="I25" s="6" t="inlineStr">
        <is>
          <t>Link</t>
        </is>
      </c>
      <c r="J25" s="7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K25" s="7" t="inlineStr"/>
      <c r="L25" s="8" t="n">
        <v>119.7</v>
      </c>
      <c r="M25" s="8" t="n">
        <v>8.75</v>
      </c>
      <c r="N25" s="8" t="n">
        <v>38</v>
      </c>
      <c r="O25" s="8" t="n">
        <v>2.54</v>
      </c>
      <c r="P25" s="8" t="n">
        <v>11.5</v>
      </c>
      <c r="Q25" s="8" t="n">
        <v>20</v>
      </c>
      <c r="R25" s="8" t="n">
        <v>0</v>
      </c>
      <c r="S25" s="8">
        <f>SUM(L25:R25)</f>
        <v/>
      </c>
      <c r="T25" s="8">
        <f>IF(S25&lt;300, S25*1.4, IF(S25&lt;400, S25*1.33, S25*1.25))</f>
        <v/>
      </c>
      <c r="U25" s="9">
        <f>INT(T25/100)*100 + IF(MOD(ROUND(T25,0),100)&lt;25, 0, IF(MOD(ROUND(T25,0),100)&lt;=74, 49, 99))</f>
        <v/>
      </c>
      <c r="V25" s="8">
        <f>IF(U25&lt;300, 0, MIN(99, IF(U25&lt;500, U25*7%, IF(U25&lt;700, U25*12%, U25*15%))))</f>
        <v/>
      </c>
    </row>
    <row r="26">
      <c r="A26" s="2" t="inlineStr">
        <is>
          <t>17P-HS-S-N</t>
        </is>
      </c>
      <c r="B26" s="3" t="inlineStr">
        <is>
          <t>Ultra-Slim Matte Hard Case with Camera Lens Protector for iPhone 17 Pro – Luxury Anti-Scratch Protective Back Cover</t>
        </is>
      </c>
      <c r="C26" s="3" t="inlineStr">
        <is>
          <t>iPhone 17 Pro Hard Shell Case with Lens Film</t>
        </is>
      </c>
      <c r="D26" s="2" t="inlineStr">
        <is>
          <t>PCs</t>
        </is>
      </c>
      <c r="E26" s="2" t="inlineStr">
        <is>
          <t>Elegant Silver</t>
        </is>
      </c>
      <c r="F26" s="2" t="inlineStr">
        <is>
          <t>iPhone 17 Pro</t>
        </is>
      </c>
      <c r="G26" s="2" t="inlineStr">
        <is>
          <t>No</t>
        </is>
      </c>
      <c r="H26" s="2" t="inlineStr">
        <is>
          <t>No</t>
        </is>
      </c>
      <c r="I26" s="2" t="inlineStr">
        <is>
          <t>Link</t>
        </is>
      </c>
      <c r="J26" s="3" t="inlineStr">
        <is>
          <t>https://moveon.global/BD_en/products/0000000BB3D8VSG8-suitable-for-iphone18promax-mobile-phone-case-ultra-thin-matte-heat-dissipation-apple-17-lens-film-all-inclusive-anti-fall-hard-case/1AC6111333736340</t>
        </is>
      </c>
      <c r="K26" s="3" t="inlineStr"/>
      <c r="L26" s="4" t="n">
        <v>119.7</v>
      </c>
      <c r="M26" s="4" t="n">
        <v>8.75</v>
      </c>
      <c r="N26" s="4" t="n">
        <v>38</v>
      </c>
      <c r="O26" s="4" t="n">
        <v>2.54</v>
      </c>
      <c r="P26" s="4" t="n">
        <v>11.5</v>
      </c>
      <c r="Q26" s="4" t="n">
        <v>20</v>
      </c>
      <c r="R26" s="4" t="n">
        <v>0</v>
      </c>
      <c r="S26" s="4">
        <f>SUM(L26:R26)</f>
        <v/>
      </c>
      <c r="T26" s="4">
        <f>IF(S26&lt;300, S26*1.4, IF(S26&lt;400, S26*1.33, S26*1.25))</f>
        <v/>
      </c>
      <c r="U26" s="5">
        <f>INT(T26/100)*100 + IF(MOD(ROUND(T26,0),100)&lt;25, 0, IF(MOD(ROUND(T26,0),100)&lt;=74, 49, 99))</f>
        <v/>
      </c>
      <c r="V26" s="4">
        <f>IF(U26&lt;300, 0, MIN(99, IF(U26&lt;500, U26*7%, IF(U26&lt;700, U26*12%, U26*15%))))</f>
        <v/>
      </c>
    </row>
    <row r="27">
      <c r="A27" s="6" t="inlineStr">
        <is>
          <t>RN8-SIL-WT-S</t>
        </is>
      </c>
      <c r="B27" s="7" t="inlineStr">
        <is>
          <t>Luxury Liquid Silicone Shockproof Case for Realme GT Neo 8 – Skin-Friendly Soft Cube Anti-Drop Protective Back Cover</t>
        </is>
      </c>
      <c r="C27" s="7" t="inlineStr">
        <is>
          <t>Suitable for Realme Neo8 phone case, simple solid color cube liquid silicone full-cover anti-drop soft case, new model</t>
        </is>
      </c>
      <c r="D27" s="6" t="inlineStr">
        <is>
          <t>Liquid Silicone</t>
        </is>
      </c>
      <c r="E27" s="6" t="inlineStr">
        <is>
          <t>Antique White</t>
        </is>
      </c>
      <c r="F27" s="6" t="inlineStr">
        <is>
          <t>Realme Neo8</t>
        </is>
      </c>
      <c r="G27" s="6" t="inlineStr">
        <is>
          <t>No</t>
        </is>
      </c>
      <c r="H27" s="6" t="inlineStr">
        <is>
          <t>Yes</t>
        </is>
      </c>
      <c r="I27" s="6" t="inlineStr">
        <is>
          <t>Link</t>
        </is>
      </c>
      <c r="J27" s="7" t="inlineStr">
        <is>
          <t>https://moveon.global/BD_en/products/0000000MJPDSKGCI-suitable-for-realme-neo8-phone-case-simple-solid-color-cube-liquid-silicone-full-cover-anti-drop-soft-case-new-model/1AD8354574484115</t>
        </is>
      </c>
      <c r="K27" s="7" t="inlineStr">
        <is>
          <t>Realme Neo8/Liquid Silicone/sku/RN8-SIL-WT-S.jpg</t>
        </is>
      </c>
      <c r="L27" s="8" t="n">
        <v>34.09</v>
      </c>
      <c r="M27" s="8" t="n">
        <v>10</v>
      </c>
      <c r="N27" s="8" t="n">
        <v>50</v>
      </c>
      <c r="O27" s="8" t="n">
        <v>5</v>
      </c>
      <c r="P27" s="8" t="n">
        <v>11.5</v>
      </c>
      <c r="Q27" s="8" t="n">
        <v>20</v>
      </c>
      <c r="R27" s="8" t="n">
        <v>0</v>
      </c>
      <c r="S27" s="8">
        <f>SUM(L27:R27)</f>
        <v/>
      </c>
      <c r="T27" s="8">
        <f>IF(S27&lt;300, S27*1.4, IF(S27&lt;400, S27*1.33, S27*1.25))</f>
        <v/>
      </c>
      <c r="U27" s="9">
        <f>INT(T27/100)*100 + IF(MOD(ROUND(T27,0),100)&lt;25, 0, IF(MOD(ROUND(T27,0),100)&lt;=74, 49, 99))</f>
        <v/>
      </c>
      <c r="V27" s="8">
        <f>IF(U27&lt;300, 0, MIN(99, IF(U27&lt;500, U27*7%, IF(U27&lt;700, U27*12%, U27*15%))))</f>
        <v/>
      </c>
    </row>
    <row r="28">
      <c r="A28" s="2" t="inlineStr">
        <is>
          <t>RN8-SIL-PR-S</t>
        </is>
      </c>
      <c r="B28" s="3" t="inlineStr">
        <is>
          <t>Luxury Liquid Silicone Shockproof Case for Realme GT Neo 8 – Skin-Friendly Soft Cube Anti-Drop Protective Back Cover</t>
        </is>
      </c>
      <c r="C28" s="3" t="inlineStr">
        <is>
          <t>Suitable for Realme Neo8 phone case, simple solid color cube liquid silicone full-cover anti-drop soft case, new model</t>
        </is>
      </c>
      <c r="D28" s="2" t="inlineStr">
        <is>
          <t>Liquid Silicone</t>
        </is>
      </c>
      <c r="E28" s="2" t="inlineStr">
        <is>
          <t>Grass Purple</t>
        </is>
      </c>
      <c r="F28" s="2" t="inlineStr">
        <is>
          <t>Realme Neo8</t>
        </is>
      </c>
      <c r="G28" s="2" t="inlineStr">
        <is>
          <t>No</t>
        </is>
      </c>
      <c r="H28" s="2" t="inlineStr">
        <is>
          <t>Yes</t>
        </is>
      </c>
      <c r="I28" s="2" t="inlineStr">
        <is>
          <t>Link</t>
        </is>
      </c>
      <c r="J28" s="3" t="inlineStr">
        <is>
          <t>https://moveon.global/BD_en/products/0000000MJPDSKGCI-suitable-for-realme-neo8-phone-case-simple-solid-color-cube-liquid-silicone-full-cover-anti-drop-soft-case-new-model/1AD8354574484115</t>
        </is>
      </c>
      <c r="K28" s="3" t="inlineStr">
        <is>
          <t>Realme Neo8/Liquid Silicone/sku/RN8-SIL-PR-S.jpg</t>
        </is>
      </c>
      <c r="L28" s="4" t="n">
        <v>34.09</v>
      </c>
      <c r="M28" s="4" t="n">
        <v>10</v>
      </c>
      <c r="N28" s="4" t="n">
        <v>50</v>
      </c>
      <c r="O28" s="4" t="n">
        <v>5</v>
      </c>
      <c r="P28" s="4" t="n">
        <v>11.5</v>
      </c>
      <c r="Q28" s="4" t="n">
        <v>20</v>
      </c>
      <c r="R28" s="4" t="n">
        <v>0</v>
      </c>
      <c r="S28" s="4">
        <f>SUM(L28:R28)</f>
        <v/>
      </c>
      <c r="T28" s="4">
        <f>IF(S28&lt;300, S28*1.4, IF(S28&lt;400, S28*1.33, S28*1.25))</f>
        <v/>
      </c>
      <c r="U28" s="5">
        <f>INT(T28/100)*100 + IF(MOD(ROUND(T28,0),100)&lt;25, 0, IF(MOD(ROUND(T28,0),100)&lt;=74, 49, 99))</f>
        <v/>
      </c>
      <c r="V28" s="4">
        <f>IF(U28&lt;300, 0, MIN(99, IF(U28&lt;500, U28*7%, IF(U28&lt;700, U28*12%, U28*15%))))</f>
        <v/>
      </c>
    </row>
    <row r="29">
      <c r="A29" s="6" t="inlineStr">
        <is>
          <t>RN8-SIL-GN-S</t>
        </is>
      </c>
      <c r="B29" s="7" t="inlineStr">
        <is>
          <t>Luxury Liquid Silicone Shockproof Case for Realme GT Neo 8 – Skin-Friendly Soft Cube Anti-Drop Protective Back Cover</t>
        </is>
      </c>
      <c r="C29" s="7" t="inlineStr">
        <is>
          <t>Suitable for Realme Neo8 phone case, simple solid color cube liquid silicone full-cover anti-drop soft case, new model</t>
        </is>
      </c>
      <c r="D29" s="6" t="inlineStr">
        <is>
          <t>Liquid Silicone</t>
        </is>
      </c>
      <c r="E29" s="6" t="inlineStr">
        <is>
          <t>Dark Night Green</t>
        </is>
      </c>
      <c r="F29" s="6" t="inlineStr">
        <is>
          <t>Realme Neo8</t>
        </is>
      </c>
      <c r="G29" s="6" t="inlineStr">
        <is>
          <t>No</t>
        </is>
      </c>
      <c r="H29" s="6" t="inlineStr">
        <is>
          <t>Yes</t>
        </is>
      </c>
      <c r="I29" s="6" t="inlineStr">
        <is>
          <t>Link</t>
        </is>
      </c>
      <c r="J29" s="7" t="inlineStr">
        <is>
          <t>https://moveon.global/BD_en/products/0000000MJPDSKGCI-suitable-for-realme-neo8-phone-case-simple-solid-color-cube-liquid-silicone-full-cover-anti-drop-soft-case-new-model/1AD8354574484115</t>
        </is>
      </c>
      <c r="K29" s="7" t="inlineStr">
        <is>
          <t>Realme Neo8/Liquid Silicone/sku/RN8-SIL-GN-S.jpg</t>
        </is>
      </c>
      <c r="L29" s="8" t="n">
        <v>34.09</v>
      </c>
      <c r="M29" s="8" t="n">
        <v>10</v>
      </c>
      <c r="N29" s="8" t="n">
        <v>50</v>
      </c>
      <c r="O29" s="8" t="n">
        <v>5</v>
      </c>
      <c r="P29" s="8" t="n">
        <v>11.5</v>
      </c>
      <c r="Q29" s="8" t="n">
        <v>20</v>
      </c>
      <c r="R29" s="8" t="n">
        <v>0</v>
      </c>
      <c r="S29" s="8">
        <f>SUM(L29:R29)</f>
        <v/>
      </c>
      <c r="T29" s="8">
        <f>IF(S29&lt;300, S29*1.4, IF(S29&lt;400, S29*1.33, S29*1.25))</f>
        <v/>
      </c>
      <c r="U29" s="9">
        <f>INT(T29/100)*100 + IF(MOD(ROUND(T29,0),100)&lt;25, 0, IF(MOD(ROUND(T29,0),100)&lt;=74, 49, 99))</f>
        <v/>
      </c>
      <c r="V29" s="8">
        <f>IF(U29&lt;300, 0, MIN(99, IF(U29&lt;500, U29*7%, IF(U29&lt;700, U29*12%, U29*15%))))</f>
        <v/>
      </c>
    </row>
    <row r="30">
      <c r="A30" s="2" t="inlineStr">
        <is>
          <t>RN8-SIL-BL-S</t>
        </is>
      </c>
      <c r="B30" s="3" t="inlineStr">
        <is>
          <t>Luxury Liquid Silicone Shockproof Case for Realme GT Neo 8 – Skin-Friendly Soft Cube Anti-Drop Protective Back Cover</t>
        </is>
      </c>
      <c r="C30" s="3" t="inlineStr">
        <is>
          <t>Suitable for Realme Neo8 phone case, simple solid color cube liquid silicone full-cover anti-drop soft case, new model</t>
        </is>
      </c>
      <c r="D30" s="2" t="inlineStr">
        <is>
          <t>Liquid Silicone</t>
        </is>
      </c>
      <c r="E30" s="2" t="inlineStr">
        <is>
          <t>Royal Blue</t>
        </is>
      </c>
      <c r="F30" s="2" t="inlineStr">
        <is>
          <t>Realme Neo8</t>
        </is>
      </c>
      <c r="G30" s="2" t="inlineStr">
        <is>
          <t>No</t>
        </is>
      </c>
      <c r="H30" s="2" t="inlineStr">
        <is>
          <t>Yes</t>
        </is>
      </c>
      <c r="I30" s="2" t="inlineStr">
        <is>
          <t>Link</t>
        </is>
      </c>
      <c r="J30" s="3" t="inlineStr">
        <is>
          <t>https://moveon.global/BD_en/products/0000000MJPDSKGCI-suitable-for-realme-neo8-phone-case-simple-solid-color-cube-liquid-silicone-full-cover-anti-drop-soft-case-new-model/1AD8354574484115</t>
        </is>
      </c>
      <c r="K30" s="3" t="inlineStr">
        <is>
          <t>Realme Neo8/Liquid Silicone/sku/RN8-SIL-BL-S.jpg</t>
        </is>
      </c>
      <c r="L30" s="4" t="n">
        <v>34.09</v>
      </c>
      <c r="M30" s="4" t="n">
        <v>10</v>
      </c>
      <c r="N30" s="4" t="n">
        <v>50</v>
      </c>
      <c r="O30" s="4" t="n">
        <v>5</v>
      </c>
      <c r="P30" s="4" t="n">
        <v>11.5</v>
      </c>
      <c r="Q30" s="4" t="n">
        <v>20</v>
      </c>
      <c r="R30" s="4" t="n">
        <v>0</v>
      </c>
      <c r="S30" s="4">
        <f>SUM(L30:R30)</f>
        <v/>
      </c>
      <c r="T30" s="4">
        <f>IF(S30&lt;300, S30*1.4, IF(S30&lt;400, S30*1.33, S30*1.25))</f>
        <v/>
      </c>
      <c r="U30" s="5">
        <f>INT(T30/100)*100 + IF(MOD(ROUND(T30,0),100)&lt;25, 0, IF(MOD(ROUND(T30,0),100)&lt;=74, 49, 99))</f>
        <v/>
      </c>
      <c r="V30" s="4">
        <f>IF(U30&lt;300, 0, MIN(99, IF(U30&lt;500, U30*7%, IF(U30&lt;700, U30*12%, U30*15%))))</f>
        <v/>
      </c>
    </row>
    <row r="31">
      <c r="A31" s="6" t="inlineStr">
        <is>
          <t>RN8-SIL-BK-S</t>
        </is>
      </c>
      <c r="B31" s="7" t="inlineStr">
        <is>
          <t>Luxury Liquid Silicone Shockproof Case for Realme GT Neo 8 – Skin-Friendly Soft Cube Anti-Drop Protective Back Cover</t>
        </is>
      </c>
      <c r="C31" s="7" t="inlineStr">
        <is>
          <t>Suitable for Realme Neo8 phone case, simple solid color cube liquid silicone full-cover anti-drop soft case, new model</t>
        </is>
      </c>
      <c r="D31" s="6" t="inlineStr">
        <is>
          <t>Liquid Silicone</t>
        </is>
      </c>
      <c r="E31" s="6" t="inlineStr">
        <is>
          <t>Classic Black</t>
        </is>
      </c>
      <c r="F31" s="6" t="inlineStr">
        <is>
          <t>Realme Neo8</t>
        </is>
      </c>
      <c r="G31" s="6" t="inlineStr">
        <is>
          <t>No</t>
        </is>
      </c>
      <c r="H31" s="6" t="inlineStr">
        <is>
          <t>Yes</t>
        </is>
      </c>
      <c r="I31" s="6" t="inlineStr">
        <is>
          <t>Link</t>
        </is>
      </c>
      <c r="J31" s="7" t="inlineStr">
        <is>
          <t>https://moveon.global/BD_en/products/0000000MJPDSKGCI-suitable-for-realme-neo8-phone-case-simple-solid-color-cube-liquid-silicone-full-cover-anti-drop-soft-case-new-model/1AD8354574484115</t>
        </is>
      </c>
      <c r="K31" s="7" t="inlineStr">
        <is>
          <t>Realme Neo8/Liquid Silicone/sku/RN8-SIL-BK-S.jpg</t>
        </is>
      </c>
      <c r="L31" s="8" t="n">
        <v>34.09</v>
      </c>
      <c r="M31" s="8" t="n">
        <v>10</v>
      </c>
      <c r="N31" s="8" t="n">
        <v>50</v>
      </c>
      <c r="O31" s="8" t="n">
        <v>5</v>
      </c>
      <c r="P31" s="8" t="n">
        <v>11.5</v>
      </c>
      <c r="Q31" s="8" t="n">
        <v>20</v>
      </c>
      <c r="R31" s="8" t="n">
        <v>0</v>
      </c>
      <c r="S31" s="8">
        <f>SUM(L31:R31)</f>
        <v/>
      </c>
      <c r="T31" s="8">
        <f>IF(S31&lt;300, S31*1.4, IF(S31&lt;400, S31*1.33, S31*1.25))</f>
        <v/>
      </c>
      <c r="U31" s="9">
        <f>INT(T31/100)*100 + IF(MOD(ROUND(T31,0),100)&lt;25, 0, IF(MOD(ROUND(T31,0),100)&lt;=74, 49, 99))</f>
        <v/>
      </c>
      <c r="V31" s="8">
        <f>IF(U31&lt;300, 0, MIN(99, IF(U31&lt;500, U31*7%, IF(U31&lt;700, U31*12%, U31*15%))))</f>
        <v/>
      </c>
    </row>
    <row r="32">
      <c r="A32" s="2" t="inlineStr">
        <is>
          <t>RN8-SIL-GY-S</t>
        </is>
      </c>
      <c r="B32" s="3" t="inlineStr">
        <is>
          <t>Luxury Liquid Silicone Shockproof Case for Realme GT Neo 8 – Skin-Friendly Soft Cube Anti-Drop Protective Back Cover</t>
        </is>
      </c>
      <c r="C32" s="3" t="inlineStr">
        <is>
          <t>Suitable for Realme Neo8 phone case, simple solid color cube liquid silicone full-cover anti-drop soft case, new model</t>
        </is>
      </c>
      <c r="D32" s="2" t="inlineStr">
        <is>
          <t>Liquid Silicone</t>
        </is>
      </c>
      <c r="E32" s="2" t="inlineStr">
        <is>
          <t>Lavender Gray</t>
        </is>
      </c>
      <c r="F32" s="2" t="inlineStr">
        <is>
          <t>Realme Neo8</t>
        </is>
      </c>
      <c r="G32" s="2" t="inlineStr">
        <is>
          <t>No</t>
        </is>
      </c>
      <c r="H32" s="2" t="inlineStr">
        <is>
          <t>Yes</t>
        </is>
      </c>
      <c r="I32" s="2" t="inlineStr">
        <is>
          <t>Link</t>
        </is>
      </c>
      <c r="J32" s="3" t="inlineStr">
        <is>
          <t>https://moveon.global/BD_en/products/0000000MJPDSKGCI-suitable-for-realme-neo8-phone-case-simple-solid-color-cube-liquid-silicone-full-cover-anti-drop-soft-case-new-model/1AD8354574484115</t>
        </is>
      </c>
      <c r="K32" s="3" t="inlineStr">
        <is>
          <t>Realme Neo8/Liquid Silicone/sku/RN8-SIL-GY-S.jpg</t>
        </is>
      </c>
      <c r="L32" s="4" t="n">
        <v>34.09</v>
      </c>
      <c r="M32" s="4" t="n">
        <v>10</v>
      </c>
      <c r="N32" s="4" t="n">
        <v>50</v>
      </c>
      <c r="O32" s="4" t="n">
        <v>5</v>
      </c>
      <c r="P32" s="4" t="n">
        <v>11.5</v>
      </c>
      <c r="Q32" s="4" t="n">
        <v>20</v>
      </c>
      <c r="R32" s="4" t="n">
        <v>0</v>
      </c>
      <c r="S32" s="4">
        <f>SUM(L32:R32)</f>
        <v/>
      </c>
      <c r="T32" s="4">
        <f>IF(S32&lt;300, S32*1.4, IF(S32&lt;400, S32*1.33, S32*1.25))</f>
        <v/>
      </c>
      <c r="U32" s="5">
        <f>INT(T32/100)*100 + IF(MOD(ROUND(T32,0),100)&lt;25, 0, IF(MOD(ROUND(T32,0),100)&lt;=74, 49, 99))</f>
        <v/>
      </c>
      <c r="V32" s="4">
        <f>IF(U32&lt;300, 0, MIN(99, IF(U32&lt;500, U32*7%, IF(U32&lt;700, U32*12%, U32*15%))))</f>
        <v/>
      </c>
    </row>
    <row r="33">
      <c r="A33" s="6" t="inlineStr">
        <is>
          <t>RN8-SIL-RD-S</t>
        </is>
      </c>
      <c r="B33" s="7" t="inlineStr">
        <is>
          <t>Luxury Liquid Silicone Shockproof Case for Realme GT Neo 8 – Skin-Friendly Soft Cube Anti-Drop Protective Back Cover</t>
        </is>
      </c>
      <c r="C33" s="7" t="inlineStr">
        <is>
          <t>Suitable for Realme Neo8 phone case, simple solid color cube liquid silicone full-cover anti-drop soft case, new model</t>
        </is>
      </c>
      <c r="D33" s="6" t="inlineStr">
        <is>
          <t>Liquid Silicone</t>
        </is>
      </c>
      <c r="E33" s="6" t="inlineStr">
        <is>
          <t>Camellia Red</t>
        </is>
      </c>
      <c r="F33" s="6" t="inlineStr">
        <is>
          <t>Realme Neo8</t>
        </is>
      </c>
      <c r="G33" s="6" t="inlineStr">
        <is>
          <t>No</t>
        </is>
      </c>
      <c r="H33" s="6" t="inlineStr">
        <is>
          <t>Yes</t>
        </is>
      </c>
      <c r="I33" s="6" t="inlineStr">
        <is>
          <t>Link</t>
        </is>
      </c>
      <c r="J33" s="7" t="inlineStr">
        <is>
          <t>https://moveon.global/BD_en/products/0000000MJPDSKGCI-suitable-for-realme-neo8-phone-case-simple-solid-color-cube-liquid-silicone-full-cover-anti-drop-soft-case-new-model/1AD8354574484115</t>
        </is>
      </c>
      <c r="K33" s="7" t="inlineStr">
        <is>
          <t>Realme Neo8/Liquid Silicone/sku/RN8-SIL-RD-S.jpg</t>
        </is>
      </c>
      <c r="L33" s="8" t="n">
        <v>34.09</v>
      </c>
      <c r="M33" s="8" t="n">
        <v>10</v>
      </c>
      <c r="N33" s="8" t="n">
        <v>50</v>
      </c>
      <c r="O33" s="8" t="n">
        <v>5</v>
      </c>
      <c r="P33" s="8" t="n">
        <v>11.5</v>
      </c>
      <c r="Q33" s="8" t="n">
        <v>20</v>
      </c>
      <c r="R33" s="8" t="n">
        <v>0</v>
      </c>
      <c r="S33" s="8">
        <f>SUM(L33:R33)</f>
        <v/>
      </c>
      <c r="T33" s="8">
        <f>IF(S33&lt;300, S33*1.4, IF(S33&lt;400, S33*1.33, S33*1.25))</f>
        <v/>
      </c>
      <c r="U33" s="9">
        <f>INT(T33/100)*100 + IF(MOD(ROUND(T33,0),100)&lt;25, 0, IF(MOD(ROUND(T33,0),100)&lt;=74, 49, 99))</f>
        <v/>
      </c>
      <c r="V33" s="8">
        <f>IF(U33&lt;300, 0, MIN(99, IF(U33&lt;500, U33*7%, IF(U33&lt;700, U33*12%, U33*15%))))</f>
        <v/>
      </c>
    </row>
    <row r="34">
      <c r="A34" s="2" t="inlineStr">
        <is>
          <t>RN8-SIL-TL-S</t>
        </is>
      </c>
      <c r="B34" s="3" t="inlineStr">
        <is>
          <t>Luxury Liquid Silicone Shockproof Case for Realme GT Neo 8 – Skin-Friendly Soft Cube Anti-Drop Protective Back Cover</t>
        </is>
      </c>
      <c r="C34" s="3" t="inlineStr">
        <is>
          <t>Suitable for Realme Neo8 phone case, simple solid color cube liquid silicone full-cover anti-drop soft case, new model</t>
        </is>
      </c>
      <c r="D34" s="2" t="inlineStr">
        <is>
          <t>Liquid Silicone</t>
        </is>
      </c>
      <c r="E34" s="2" t="inlineStr">
        <is>
          <t>Light Teal</t>
        </is>
      </c>
      <c r="F34" s="2" t="inlineStr">
        <is>
          <t>Realme Neo8</t>
        </is>
      </c>
      <c r="G34" s="2" t="inlineStr">
        <is>
          <t>No</t>
        </is>
      </c>
      <c r="H34" s="2" t="inlineStr">
        <is>
          <t>Yes</t>
        </is>
      </c>
      <c r="I34" s="2" t="inlineStr">
        <is>
          <t>Link</t>
        </is>
      </c>
      <c r="J34" s="3" t="inlineStr">
        <is>
          <t>https://moveon.global/BD_en/products/0000000MJPDSKGCI-suitable-for-realme-neo8-phone-case-simple-solid-color-cube-liquid-silicone-full-cover-anti-drop-soft-case-new-model/1AD8354574484115</t>
        </is>
      </c>
      <c r="K34" s="3" t="inlineStr">
        <is>
          <t>Realme Neo8/Liquid Silicone/sku/RN8-SIL-TL-S.jpg</t>
        </is>
      </c>
      <c r="L34" s="4" t="n">
        <v>34.09</v>
      </c>
      <c r="M34" s="4" t="n">
        <v>10</v>
      </c>
      <c r="N34" s="4" t="n">
        <v>50</v>
      </c>
      <c r="O34" s="4" t="n">
        <v>5</v>
      </c>
      <c r="P34" s="4" t="n">
        <v>11.5</v>
      </c>
      <c r="Q34" s="4" t="n">
        <v>20</v>
      </c>
      <c r="R34" s="4" t="n">
        <v>0</v>
      </c>
      <c r="S34" s="4">
        <f>SUM(L34:R34)</f>
        <v/>
      </c>
      <c r="T34" s="4">
        <f>IF(S34&lt;300, S34*1.4, IF(S34&lt;400, S34*1.33, S34*1.25))</f>
        <v/>
      </c>
      <c r="U34" s="5">
        <f>INT(T34/100)*100 + IF(MOD(ROUND(T34,0),100)&lt;25, 0, IF(MOD(ROUND(T34,0),100)&lt;=74, 49, 99))</f>
        <v/>
      </c>
      <c r="V34" s="4">
        <f>IF(U34&lt;300, 0, MIN(99, IF(U34&lt;500, U34*7%, IF(U34&lt;700, U34*12%, U34*15%))))</f>
        <v/>
      </c>
    </row>
    <row r="35">
      <c r="A35" s="6" t="inlineStr">
        <is>
          <t>RN8-SIL-CL-C</t>
        </is>
      </c>
      <c r="B35" s="7" t="inlineStr">
        <is>
          <t>Luxury Liquid Silicone Shockproof Case for Realme GT Neo 8 – Skin-Friendly Soft Cube Anti-Drop Protective Back Cover</t>
        </is>
      </c>
      <c r="C35" s="7" t="inlineStr">
        <is>
          <t>Suitable for Realme Neo8 phone case, simple solid color cube liquid silicone full-cover anti-drop soft case, new model</t>
        </is>
      </c>
      <c r="D35" s="6" t="inlineStr">
        <is>
          <t>Liquid Silicone</t>
        </is>
      </c>
      <c r="E35" s="6" t="inlineStr">
        <is>
          <t>Transparent</t>
        </is>
      </c>
      <c r="F35" s="6" t="inlineStr">
        <is>
          <t>Realme Neo8</t>
        </is>
      </c>
      <c r="G35" s="6" t="inlineStr">
        <is>
          <t>No</t>
        </is>
      </c>
      <c r="H35" s="6" t="inlineStr">
        <is>
          <t>Yes</t>
        </is>
      </c>
      <c r="I35" s="6" t="inlineStr">
        <is>
          <t>Link</t>
        </is>
      </c>
      <c r="J35" s="7" t="inlineStr">
        <is>
          <t>https://moveon.global/BD_en/products/0000000MJPDSKGCI-suitable-for-realme-neo8-phone-case-simple-solid-color-cube-liquid-silicone-full-cover-anti-drop-soft-case-new-model/1AD8354574484115</t>
        </is>
      </c>
      <c r="K35" s="7" t="inlineStr">
        <is>
          <t>Realme Neo8/Liquid Silicone/sku/RN8-SIL-CL-C.jpg</t>
        </is>
      </c>
      <c r="L35" s="8" t="n">
        <v>34.09</v>
      </c>
      <c r="M35" s="8" t="n">
        <v>10</v>
      </c>
      <c r="N35" s="8" t="n">
        <v>50</v>
      </c>
      <c r="O35" s="8" t="n">
        <v>5</v>
      </c>
      <c r="P35" s="8" t="n">
        <v>11.5</v>
      </c>
      <c r="Q35" s="8" t="n">
        <v>20</v>
      </c>
      <c r="R35" s="8" t="n">
        <v>0</v>
      </c>
      <c r="S35" s="8">
        <f>SUM(L35:R35)</f>
        <v/>
      </c>
      <c r="T35" s="8">
        <f>IF(S35&lt;300, S35*1.4, IF(S35&lt;400, S35*1.33, S35*1.25))</f>
        <v/>
      </c>
      <c r="U35" s="9">
        <f>INT(T35/100)*100 + IF(MOD(ROUND(T35,0),100)&lt;25, 0, IF(MOD(ROUND(T35,0),100)&lt;=74, 49, 99))</f>
        <v/>
      </c>
      <c r="V35" s="8">
        <f>IF(U35&lt;300, 0, MIN(99, IF(U35&lt;500, U35*7%, IF(U35&lt;700, U35*12%, U35*15%))))</f>
        <v/>
      </c>
    </row>
    <row r="36">
      <c r="A36" s="2" t="inlineStr">
        <is>
          <t>RN8-TPU-WT-M</t>
        </is>
      </c>
      <c r="B36" s="3" t="inlineStr">
        <is>
          <t>Magnetic Ultra-Thin Shockproof Case for Realme GT Neo 8 – Slim Soft TPU Full Protection Back Cover</t>
        </is>
      </c>
      <c r="C36" s="3" t="inlineStr">
        <is>
          <t>Suitable for Realme Neo8 Mobile Phone Case, Magnetic Ultra-Thin Soft Case, Realme Thin Neo8 Protective Case, Tpu Full Cover</t>
        </is>
      </c>
      <c r="D36" s="2" t="inlineStr">
        <is>
          <t>TPU</t>
        </is>
      </c>
      <c r="E36" s="2" t="inlineStr">
        <is>
          <t>Transparent White</t>
        </is>
      </c>
      <c r="F36" s="2" t="inlineStr">
        <is>
          <t>Realme Neo8</t>
        </is>
      </c>
      <c r="G36" s="2" t="inlineStr">
        <is>
          <t>No</t>
        </is>
      </c>
      <c r="H36" s="2" t="inlineStr">
        <is>
          <t>Yes</t>
        </is>
      </c>
      <c r="I36" s="2" t="inlineStr">
        <is>
          <t>Link</t>
        </is>
      </c>
      <c r="J36" s="3" t="inlineStr">
        <is>
          <t>https://moveon.global/BD_en/products/0000000J0H1734SE-suitable-for-realme-neo8-mobile-phone-case-magnetic-ultra-thin-soft-case-realme-thin-neo8-protective-case-tpu-full-cover/1AD8318293575646</t>
        </is>
      </c>
      <c r="K36" s="3" t="inlineStr">
        <is>
          <t>Realme Neo8/TPU/sku/RN8-TPU-WT-M.jpg</t>
        </is>
      </c>
      <c r="L36" s="4" t="n">
        <v>133</v>
      </c>
      <c r="M36" s="4" t="n">
        <v>10</v>
      </c>
      <c r="N36" s="4" t="n">
        <v>50</v>
      </c>
      <c r="O36" s="4" t="n">
        <v>5</v>
      </c>
      <c r="P36" s="4" t="n">
        <v>11.5</v>
      </c>
      <c r="Q36" s="4" t="n">
        <v>20</v>
      </c>
      <c r="R36" s="4" t="n">
        <v>0</v>
      </c>
      <c r="S36" s="4">
        <f>SUM(L36:R36)</f>
        <v/>
      </c>
      <c r="T36" s="4">
        <f>IF(S36&lt;300, S36*1.4, IF(S36&lt;400, S36*1.33, S36*1.25))</f>
        <v/>
      </c>
      <c r="U36" s="5">
        <f>INT(T36/100)*100 + IF(MOD(ROUND(T36,0),100)&lt;25, 0, IF(MOD(ROUND(T36,0),100)&lt;=74, 49, 99))</f>
        <v/>
      </c>
      <c r="V36" s="4">
        <f>IF(U36&lt;300, 0, MIN(99, IF(U36&lt;500, U36*7%, IF(U36&lt;700, U36*12%, U36*15%))))</f>
        <v/>
      </c>
    </row>
    <row r="37">
      <c r="A37" s="6" t="inlineStr">
        <is>
          <t>RN8-TPU-BK-M</t>
        </is>
      </c>
      <c r="B37" s="7" t="inlineStr">
        <is>
          <t>Magnetic Ultra-Thin Shockproof Case for Realme GT Neo 8 – Slim Soft TPU Full Protection Back Cover</t>
        </is>
      </c>
      <c r="C37" s="7" t="inlineStr">
        <is>
          <t>Suitable for Realme Neo8 Mobile Phone Case, Magnetic Ultra-Thin Soft Case, Realme Thin Neo8 Protective Case, Tpu Full Cover</t>
        </is>
      </c>
      <c r="D37" s="6" t="inlineStr">
        <is>
          <t>TPU</t>
        </is>
      </c>
      <c r="E37" s="6" t="inlineStr">
        <is>
          <t>Transparent Black</t>
        </is>
      </c>
      <c r="F37" s="6" t="inlineStr">
        <is>
          <t>Realme Neo8</t>
        </is>
      </c>
      <c r="G37" s="6" t="inlineStr">
        <is>
          <t>No</t>
        </is>
      </c>
      <c r="H37" s="6" t="inlineStr">
        <is>
          <t>Yes</t>
        </is>
      </c>
      <c r="I37" s="6" t="inlineStr">
        <is>
          <t>Link</t>
        </is>
      </c>
      <c r="J37" s="7" t="inlineStr">
        <is>
          <t>https://moveon.global/BD_en/products/0000000J0H1734SE-suitable-for-realme-neo8-mobile-phone-case-magnetic-ultra-thin-soft-case-realme-thin-neo8-protective-case-tpu-full-cover/1AD8318293575646</t>
        </is>
      </c>
      <c r="K37" s="7" t="inlineStr">
        <is>
          <t>Realme Neo8/TPU/sku/RN8-TPU-BK-M.jpg</t>
        </is>
      </c>
      <c r="L37" s="8" t="n">
        <v>133</v>
      </c>
      <c r="M37" s="8" t="n">
        <v>10</v>
      </c>
      <c r="N37" s="8" t="n">
        <v>50</v>
      </c>
      <c r="O37" s="8" t="n">
        <v>5</v>
      </c>
      <c r="P37" s="8" t="n">
        <v>11.5</v>
      </c>
      <c r="Q37" s="8" t="n">
        <v>20</v>
      </c>
      <c r="R37" s="8" t="n">
        <v>0</v>
      </c>
      <c r="S37" s="8">
        <f>SUM(L37:R37)</f>
        <v/>
      </c>
      <c r="T37" s="8">
        <f>IF(S37&lt;300, S37*1.4, IF(S37&lt;400, S37*1.33, S37*1.25))</f>
        <v/>
      </c>
      <c r="U37" s="9">
        <f>INT(T37/100)*100 + IF(MOD(ROUND(T37,0),100)&lt;25, 0, IF(MOD(ROUND(T37,0),100)&lt;=74, 49, 99))</f>
        <v/>
      </c>
      <c r="V37" s="8">
        <f>IF(U37&lt;300, 0, MIN(99, IF(U37&lt;500, U37*7%, IF(U37&lt;700, U37*12%, U37*15%))))</f>
        <v/>
      </c>
    </row>
    <row r="38">
      <c r="A38" s="2" t="inlineStr">
        <is>
          <t>H600L-SIL-BK-M</t>
        </is>
      </c>
      <c r="B38" s="3" t="inlineStr">
        <is>
          <t>Magnetic Liquid Silicone Case for Honor 600 Lite – Moiré Texture Anti-Scratch Soft Protective Back Cover</t>
        </is>
      </c>
      <c r="C38" s="3" t="inlineStr">
        <is>
          <t>Suitable for Honor 600Lite Foreign Version Mobile Phone Case Protective Cover with Built-In Magnetic Suction, Lightweight, Fine Holes, and Hard Shell</t>
        </is>
      </c>
      <c r="D38" s="2" t="inlineStr">
        <is>
          <t>Silicone</t>
        </is>
      </c>
      <c r="E38" s="2" t="inlineStr">
        <is>
          <t>Moiré Black</t>
        </is>
      </c>
      <c r="F38" s="2" t="inlineStr">
        <is>
          <t>Honor 600 lite</t>
        </is>
      </c>
      <c r="G38" s="2" t="inlineStr">
        <is>
          <t>No</t>
        </is>
      </c>
      <c r="H38" s="2" t="inlineStr">
        <is>
          <t>Yes</t>
        </is>
      </c>
      <c r="I38" s="2" t="inlineStr">
        <is>
          <t>Link</t>
        </is>
      </c>
      <c r="J38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K38" s="3" t="inlineStr">
        <is>
          <t>Honor 600 lite/Silicone/sku/H600L-SIL-BK-M.jpg</t>
        </is>
      </c>
      <c r="L38" s="4" t="n">
        <v>186.2</v>
      </c>
      <c r="M38" s="4" t="n">
        <v>10</v>
      </c>
      <c r="N38" s="4" t="n">
        <v>156</v>
      </c>
      <c r="O38" s="4" t="n">
        <v>5</v>
      </c>
      <c r="P38" s="4" t="n">
        <v>11.5</v>
      </c>
      <c r="Q38" s="4" t="n">
        <v>20</v>
      </c>
      <c r="R38" s="4" t="n">
        <v>0</v>
      </c>
      <c r="S38" s="4">
        <f>SUM(L38:R38)</f>
        <v/>
      </c>
      <c r="T38" s="4">
        <f>IF(S38&lt;300, S38*1.4, IF(S38&lt;400, S38*1.33, S38*1.25))</f>
        <v/>
      </c>
      <c r="U38" s="5">
        <f>INT(T38/100)*100 + IF(MOD(ROUND(T38,0),100)&lt;25, 0, IF(MOD(ROUND(T38,0),100)&lt;=74, 49, 99))</f>
        <v/>
      </c>
      <c r="V38" s="4">
        <f>IF(U38&lt;300, 0, MIN(99, IF(U38&lt;500, U38*7%, IF(U38&lt;700, U38*12%, U38*15%))))</f>
        <v/>
      </c>
    </row>
    <row r="39">
      <c r="A39" s="6" t="inlineStr">
        <is>
          <t>H600L-SIL-BL-M</t>
        </is>
      </c>
      <c r="B39" s="7" t="inlineStr">
        <is>
          <t>Magnetic Liquid Silicone Case for Honor 600 Lite – Moiré Texture Anti-Scratch Soft Protective Back Cover</t>
        </is>
      </c>
      <c r="C39" s="7" t="inlineStr">
        <is>
          <t>Suitable for Honor 600Lite Foreign Version Mobile Phone Case Protective Cover with Built-In Magnetic Suction, Lightweight, Fine Holes, and Hard Shell</t>
        </is>
      </c>
      <c r="D39" s="6" t="inlineStr">
        <is>
          <t>Silicone</t>
        </is>
      </c>
      <c r="E39" s="6" t="inlineStr">
        <is>
          <t>Gentleman Blue</t>
        </is>
      </c>
      <c r="F39" s="6" t="inlineStr">
        <is>
          <t>Honor 600 lite</t>
        </is>
      </c>
      <c r="G39" s="6" t="inlineStr">
        <is>
          <t>No</t>
        </is>
      </c>
      <c r="H39" s="6" t="inlineStr">
        <is>
          <t>Yes</t>
        </is>
      </c>
      <c r="I39" s="6" t="inlineStr">
        <is>
          <t>Link</t>
        </is>
      </c>
      <c r="J39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K39" s="7" t="inlineStr">
        <is>
          <t>Honor 600 lite/Silicone/sku/H600L-SIL-BL-M.jpg</t>
        </is>
      </c>
      <c r="L39" s="8" t="n">
        <v>186.2</v>
      </c>
      <c r="M39" s="8" t="n">
        <v>10</v>
      </c>
      <c r="N39" s="8" t="n">
        <v>156</v>
      </c>
      <c r="O39" s="8" t="n">
        <v>5</v>
      </c>
      <c r="P39" s="8" t="n">
        <v>11.5</v>
      </c>
      <c r="Q39" s="8" t="n">
        <v>20</v>
      </c>
      <c r="R39" s="8" t="n">
        <v>0</v>
      </c>
      <c r="S39" s="8">
        <f>SUM(L39:R39)</f>
        <v/>
      </c>
      <c r="T39" s="8">
        <f>IF(S39&lt;300, S39*1.4, IF(S39&lt;400, S39*1.33, S39*1.25))</f>
        <v/>
      </c>
      <c r="U39" s="9">
        <f>INT(T39/100)*100 + IF(MOD(ROUND(T39,0),100)&lt;25, 0, IF(MOD(ROUND(T39,0),100)&lt;=74, 49, 99))</f>
        <v/>
      </c>
      <c r="V39" s="8">
        <f>IF(U39&lt;300, 0, MIN(99, IF(U39&lt;500, U39*7%, IF(U39&lt;700, U39*12%, U39*15%))))</f>
        <v/>
      </c>
    </row>
    <row r="40">
      <c r="A40" s="2" t="inlineStr">
        <is>
          <t>H600L-SIL-GN-M</t>
        </is>
      </c>
      <c r="B40" s="3" t="inlineStr">
        <is>
          <t>Magnetic Liquid Silicone Case for Honor 600 Lite – Moiré Texture Anti-Scratch Soft Protective Back Cover</t>
        </is>
      </c>
      <c r="C40" s="3" t="inlineStr">
        <is>
          <t>Suitable for Honor 600Lite Foreign Version Mobile Phone Case Protective Cover with Built-In Magnetic Suction, Lightweight, Fine Holes, and Hard Shell</t>
        </is>
      </c>
      <c r="D40" s="2" t="inlineStr">
        <is>
          <t>Silicone</t>
        </is>
      </c>
      <c r="E40" s="2" t="inlineStr">
        <is>
          <t>Dark Night Green</t>
        </is>
      </c>
      <c r="F40" s="2" t="inlineStr">
        <is>
          <t>Honor 600 lite</t>
        </is>
      </c>
      <c r="G40" s="2" t="inlineStr">
        <is>
          <t>No</t>
        </is>
      </c>
      <c r="H40" s="2" t="inlineStr">
        <is>
          <t>Yes</t>
        </is>
      </c>
      <c r="I40" s="2" t="inlineStr">
        <is>
          <t>Link</t>
        </is>
      </c>
      <c r="J40" s="3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K40" s="3" t="inlineStr">
        <is>
          <t>Honor 600 lite/Silicone/sku/H600L-SIL-GN-M.jpg</t>
        </is>
      </c>
      <c r="L40" s="4" t="n">
        <v>186.2</v>
      </c>
      <c r="M40" s="4" t="n">
        <v>10</v>
      </c>
      <c r="N40" s="4" t="n">
        <v>156</v>
      </c>
      <c r="O40" s="4" t="n">
        <v>5</v>
      </c>
      <c r="P40" s="4" t="n">
        <v>11.5</v>
      </c>
      <c r="Q40" s="4" t="n">
        <v>20</v>
      </c>
      <c r="R40" s="4" t="n">
        <v>0</v>
      </c>
      <c r="S40" s="4">
        <f>SUM(L40:R40)</f>
        <v/>
      </c>
      <c r="T40" s="4">
        <f>IF(S40&lt;300, S40*1.4, IF(S40&lt;400, S40*1.33, S40*1.25))</f>
        <v/>
      </c>
      <c r="U40" s="5">
        <f>INT(T40/100)*100 + IF(MOD(ROUND(T40,0),100)&lt;25, 0, IF(MOD(ROUND(T40,0),100)&lt;=74, 49, 99))</f>
        <v/>
      </c>
      <c r="V40" s="4">
        <f>IF(U40&lt;300, 0, MIN(99, IF(U40&lt;500, U40*7%, IF(U40&lt;700, U40*12%, U40*15%))))</f>
        <v/>
      </c>
    </row>
    <row r="41">
      <c r="A41" s="6" t="inlineStr">
        <is>
          <t>H600L-SIL-RD-M</t>
        </is>
      </c>
      <c r="B41" s="7" t="inlineStr">
        <is>
          <t>Magnetic Liquid Silicone Case for Honor 600 Lite – Moiré Texture Anti-Scratch Soft Protective Back Cover</t>
        </is>
      </c>
      <c r="C41" s="7" t="inlineStr">
        <is>
          <t>Suitable for Honor 600Lite Foreign Version Mobile Phone Case Protective Cover with Built-In Magnetic Suction, Lightweight, Fine Holes, and Hard Shell</t>
        </is>
      </c>
      <c r="D41" s="6" t="inlineStr">
        <is>
          <t>Silicone</t>
        </is>
      </c>
      <c r="E41" s="6" t="inlineStr">
        <is>
          <t>Charming Red</t>
        </is>
      </c>
      <c r="F41" s="6" t="inlineStr">
        <is>
          <t>Honor 600 lite</t>
        </is>
      </c>
      <c r="G41" s="6" t="inlineStr">
        <is>
          <t>No</t>
        </is>
      </c>
      <c r="H41" s="6" t="inlineStr">
        <is>
          <t>Yes</t>
        </is>
      </c>
      <c r="I41" s="6" t="inlineStr">
        <is>
          <t>Link</t>
        </is>
      </c>
      <c r="J41" s="7" t="inlineStr">
        <is>
          <t>https://moveon.global/BD_en/products/0000000DCI2M1DIF-suitable-for-honor-600lite-foreign-version-mobile-phone-case-protective-cover-with-built-in-magnetic-suction-lightweight-fine-holes-and-hard-shell/1AD8320205925874</t>
        </is>
      </c>
      <c r="K41" s="7" t="inlineStr">
        <is>
          <t>Honor 600 lite/Silicone/sku/H600L-SIL-RD-M.jpg</t>
        </is>
      </c>
      <c r="L41" s="8" t="n">
        <v>186.2</v>
      </c>
      <c r="M41" s="8" t="n">
        <v>10</v>
      </c>
      <c r="N41" s="8" t="n">
        <v>156</v>
      </c>
      <c r="O41" s="8" t="n">
        <v>5</v>
      </c>
      <c r="P41" s="8" t="n">
        <v>11.5</v>
      </c>
      <c r="Q41" s="8" t="n">
        <v>20</v>
      </c>
      <c r="R41" s="8" t="n">
        <v>0</v>
      </c>
      <c r="S41" s="8">
        <f>SUM(L41:R41)</f>
        <v/>
      </c>
      <c r="T41" s="8">
        <f>IF(S41&lt;300, S41*1.4, IF(S41&lt;400, S41*1.33, S41*1.25))</f>
        <v/>
      </c>
      <c r="U41" s="9">
        <f>INT(T41/100)*100 + IF(MOD(ROUND(T41,0),100)&lt;25, 0, IF(MOD(ROUND(T41,0),100)&lt;=74, 49, 99))</f>
        <v/>
      </c>
      <c r="V41" s="8">
        <f>IF(U41&lt;300, 0, MIN(99, IF(U41&lt;500, U41*7%, IF(U41&lt;700, U41*12%, U41*15%))))</f>
        <v/>
      </c>
    </row>
    <row r="42">
      <c r="A42" s="2" t="inlineStr">
        <is>
          <t>HX80I-TPU-SV-E</t>
        </is>
      </c>
      <c r="B42" s="3" t="inlineStr">
        <is>
          <t>Invisible Kickstand Airbag Shockproof Case for Honor X80i / X70 / X60 Pro – Clear Hybrid TPU Protective Back Cover</t>
        </is>
      </c>
      <c r="C42" s="3" t="inlineStr">
        <is>
          <t>Sangjieshi Suitable for Honor X80Promax Mobile Phone Case X70 with Stand X60Pro Transparent X50 Full-Cover Airbag</t>
        </is>
      </c>
      <c r="D42" s="2" t="inlineStr">
        <is>
          <t>TPU</t>
        </is>
      </c>
      <c r="E42" s="2" t="inlineStr">
        <is>
          <t>Silver</t>
        </is>
      </c>
      <c r="F42" s="2" t="inlineStr">
        <is>
          <t>Honor X80i</t>
        </is>
      </c>
      <c r="G42" s="2" t="inlineStr">
        <is>
          <t>No</t>
        </is>
      </c>
      <c r="H42" s="2" t="inlineStr">
        <is>
          <t>Yes</t>
        </is>
      </c>
      <c r="I42" s="2" t="inlineStr">
        <is>
          <t>Link</t>
        </is>
      </c>
      <c r="J42" s="3" t="inlineStr">
        <is>
          <t>https://moveon.global/BD_en/products/0000000125WCGFR9-sangjieshi-suitable-for-honor-x80promax-mobile-phone-case-x70-with-stand-x60pro-transparent-x50-full-cover-airbag/1AD8341131122671</t>
        </is>
      </c>
      <c r="K42" s="3" t="inlineStr">
        <is>
          <t>Honor X80i/TPU/sku/HX80I-TPU-SV-E.jpg</t>
        </is>
      </c>
      <c r="L42" s="4" t="n">
        <v>234.08</v>
      </c>
      <c r="M42" s="4" t="n">
        <v>10</v>
      </c>
      <c r="N42" s="4" t="n">
        <v>50</v>
      </c>
      <c r="O42" s="4" t="n">
        <v>5</v>
      </c>
      <c r="P42" s="4" t="n">
        <v>11.5</v>
      </c>
      <c r="Q42" s="4" t="n">
        <v>20</v>
      </c>
      <c r="R42" s="4" t="n">
        <v>0</v>
      </c>
      <c r="S42" s="4">
        <f>SUM(L42:R42)</f>
        <v/>
      </c>
      <c r="T42" s="4">
        <f>IF(S42&lt;300, S42*1.4, IF(S42&lt;400, S42*1.33, S42*1.25))</f>
        <v/>
      </c>
      <c r="U42" s="5">
        <f>INT(T42/100)*100 + IF(MOD(ROUND(T42,0),100)&lt;25, 0, IF(MOD(ROUND(T42,0),100)&lt;=74, 49, 99))</f>
        <v/>
      </c>
      <c r="V42" s="4">
        <f>IF(U42&lt;300, 0, MIN(99, IF(U42&lt;500, U42*7%, IF(U42&lt;700, U42*12%, U42*15%))))</f>
        <v/>
      </c>
    </row>
    <row r="43">
      <c r="A43" s="6" t="inlineStr">
        <is>
          <t>HX80I-TPU-BK-E</t>
        </is>
      </c>
      <c r="B43" s="7" t="inlineStr">
        <is>
          <t>Invisible Kickstand Airbag Shockproof Case for Honor X80i / X70 / X60 Pro – Clear Hybrid TPU Protective Back Cover</t>
        </is>
      </c>
      <c r="C43" s="7" t="inlineStr">
        <is>
          <t>Sangjieshi Suitable for Honor X80Promax Mobile Phone Case X70 with Stand X60Pro Transparent X50 Full-Cover Airbag</t>
        </is>
      </c>
      <c r="D43" s="6" t="inlineStr">
        <is>
          <t>TPU</t>
        </is>
      </c>
      <c r="E43" s="6" t="inlineStr">
        <is>
          <t>Black</t>
        </is>
      </c>
      <c r="F43" s="6" t="inlineStr">
        <is>
          <t>Honor X80i</t>
        </is>
      </c>
      <c r="G43" s="6" t="inlineStr">
        <is>
          <t>No</t>
        </is>
      </c>
      <c r="H43" s="6" t="inlineStr">
        <is>
          <t>Yes</t>
        </is>
      </c>
      <c r="I43" s="6" t="inlineStr">
        <is>
          <t>Link</t>
        </is>
      </c>
      <c r="J43" s="7" t="inlineStr">
        <is>
          <t>https://moveon.global/BD_en/products/0000000125WCGFR9-sangjieshi-suitable-for-honor-x80promax-mobile-phone-case-x70-with-stand-x60pro-transparent-x50-full-cover-airbag/1AD8341131122671</t>
        </is>
      </c>
      <c r="K43" s="7" t="inlineStr">
        <is>
          <t>Honor X80i/TPU/sku/HX80I-TPU-BK-E.jpg</t>
        </is>
      </c>
      <c r="L43" s="8" t="n">
        <v>234.08</v>
      </c>
      <c r="M43" s="8" t="n">
        <v>10</v>
      </c>
      <c r="N43" s="8" t="n">
        <v>50</v>
      </c>
      <c r="O43" s="8" t="n">
        <v>5</v>
      </c>
      <c r="P43" s="8" t="n">
        <v>11.5</v>
      </c>
      <c r="Q43" s="8" t="n">
        <v>20</v>
      </c>
      <c r="R43" s="8" t="n">
        <v>0</v>
      </c>
      <c r="S43" s="8">
        <f>SUM(L43:R43)</f>
        <v/>
      </c>
      <c r="T43" s="8">
        <f>IF(S43&lt;300, S43*1.4, IF(S43&lt;400, S43*1.33, S43*1.25))</f>
        <v/>
      </c>
      <c r="U43" s="9">
        <f>INT(T43/100)*100 + IF(MOD(ROUND(T43,0),100)&lt;25, 0, IF(MOD(ROUND(T43,0),100)&lt;=74, 49, 99))</f>
        <v/>
      </c>
      <c r="V43" s="8">
        <f>IF(U43&lt;300, 0, MIN(99, IF(U43&lt;500, U43*7%, IF(U43&lt;700, U43*12%, U43*15%))))</f>
        <v/>
      </c>
    </row>
    <row r="44">
      <c r="A44" s="2" t="inlineStr">
        <is>
          <t>HX80I-TPU-PR-E</t>
        </is>
      </c>
      <c r="B44" s="3" t="inlineStr">
        <is>
          <t>Invisible Kickstand Airbag Shockproof Case for Honor X80i / X70 / X60 Pro – Clear Hybrid TPU Protective Back Cover</t>
        </is>
      </c>
      <c r="C44" s="3" t="inlineStr">
        <is>
          <t>Sangjieshi Suitable for Honor X80Promax Mobile Phone Case X70 with Stand X60Pro Transparent X50 Full-Cover Airbag</t>
        </is>
      </c>
      <c r="D44" s="2" t="inlineStr">
        <is>
          <t>TPU</t>
        </is>
      </c>
      <c r="E44" s="2" t="inlineStr">
        <is>
          <t>Purple</t>
        </is>
      </c>
      <c r="F44" s="2" t="inlineStr">
        <is>
          <t>Honor X80i</t>
        </is>
      </c>
      <c r="G44" s="2" t="inlineStr">
        <is>
          <t>No</t>
        </is>
      </c>
      <c r="H44" s="2" t="inlineStr">
        <is>
          <t>Yes</t>
        </is>
      </c>
      <c r="I44" s="2" t="inlineStr">
        <is>
          <t>Link</t>
        </is>
      </c>
      <c r="J44" s="3" t="inlineStr">
        <is>
          <t>https://moveon.global/BD_en/products/0000000125WCGFR9-sangjieshi-suitable-for-honor-x80promax-mobile-phone-case-x70-with-stand-x60pro-transparent-x50-full-cover-airbag/1AD8341131122671</t>
        </is>
      </c>
      <c r="K44" s="3" t="inlineStr">
        <is>
          <t>Honor X80i/TPU/sku/HX80I-TPU-PR-E.jpg</t>
        </is>
      </c>
      <c r="L44" s="4" t="n">
        <v>234.08</v>
      </c>
      <c r="M44" s="4" t="n">
        <v>10</v>
      </c>
      <c r="N44" s="4" t="n">
        <v>50</v>
      </c>
      <c r="O44" s="4" t="n">
        <v>5</v>
      </c>
      <c r="P44" s="4" t="n">
        <v>11.5</v>
      </c>
      <c r="Q44" s="4" t="n">
        <v>20</v>
      </c>
      <c r="R44" s="4" t="n">
        <v>0</v>
      </c>
      <c r="S44" s="4">
        <f>SUM(L44:R44)</f>
        <v/>
      </c>
      <c r="T44" s="4">
        <f>IF(S44&lt;300, S44*1.4, IF(S44&lt;400, S44*1.33, S44*1.25))</f>
        <v/>
      </c>
      <c r="U44" s="5">
        <f>INT(T44/100)*100 + IF(MOD(ROUND(T44,0),100)&lt;25, 0, IF(MOD(ROUND(T44,0),100)&lt;=74, 49, 99))</f>
        <v/>
      </c>
      <c r="V44" s="4">
        <f>IF(U44&lt;300, 0, MIN(99, IF(U44&lt;500, U44*7%, IF(U44&lt;700, U44*12%, U44*15%))))</f>
        <v/>
      </c>
    </row>
    <row r="45">
      <c r="A45" s="6" t="inlineStr">
        <is>
          <t>HX80I-TPU-BL-E</t>
        </is>
      </c>
      <c r="B45" s="7" t="inlineStr">
        <is>
          <t>Invisible Kickstand Airbag Shockproof Case for Honor X80i / X70 / X60 Pro – Clear Hybrid TPU Protective Back Cover</t>
        </is>
      </c>
      <c r="C45" s="7" t="inlineStr">
        <is>
          <t>Sangjieshi Suitable for Honor X80Promax Mobile Phone Case X70 with Stand X60Pro Transparent X50 Full-Cover Airbag</t>
        </is>
      </c>
      <c r="D45" s="6" t="inlineStr">
        <is>
          <t>TPU</t>
        </is>
      </c>
      <c r="E45" s="6" t="inlineStr">
        <is>
          <t>Blue</t>
        </is>
      </c>
      <c r="F45" s="6" t="inlineStr">
        <is>
          <t>Honor X80i</t>
        </is>
      </c>
      <c r="G45" s="6" t="inlineStr">
        <is>
          <t>No</t>
        </is>
      </c>
      <c r="H45" s="6" t="inlineStr">
        <is>
          <t>Yes</t>
        </is>
      </c>
      <c r="I45" s="6" t="inlineStr">
        <is>
          <t>Link</t>
        </is>
      </c>
      <c r="J45" s="7" t="inlineStr">
        <is>
          <t>https://moveon.global/BD_en/products/0000000125WCGFR9-sangjieshi-suitable-for-honor-x80promax-mobile-phone-case-x70-with-stand-x60pro-transparent-x50-full-cover-airbag/1AD8341131122671</t>
        </is>
      </c>
      <c r="K45" s="7" t="inlineStr">
        <is>
          <t>Honor X80i/TPU/sku/HX80I-TPU-BL-E.jpg</t>
        </is>
      </c>
      <c r="L45" s="8" t="n">
        <v>234.08</v>
      </c>
      <c r="M45" s="8" t="n">
        <v>10</v>
      </c>
      <c r="N45" s="8" t="n">
        <v>50</v>
      </c>
      <c r="O45" s="8" t="n">
        <v>5</v>
      </c>
      <c r="P45" s="8" t="n">
        <v>11.5</v>
      </c>
      <c r="Q45" s="8" t="n">
        <v>20</v>
      </c>
      <c r="R45" s="8" t="n">
        <v>0</v>
      </c>
      <c r="S45" s="8">
        <f>SUM(L45:R45)</f>
        <v/>
      </c>
      <c r="T45" s="8">
        <f>IF(S45&lt;300, S45*1.4, IF(S45&lt;400, S45*1.33, S45*1.25))</f>
        <v/>
      </c>
      <c r="U45" s="9">
        <f>INT(T45/100)*100 + IF(MOD(ROUND(T45,0),100)&lt;25, 0, IF(MOD(ROUND(T45,0),100)&lt;=74, 49, 99))</f>
        <v/>
      </c>
      <c r="V45" s="8">
        <f>IF(U45&lt;300, 0, MIN(99, IF(U45&lt;500, U45*7%, IF(U45&lt;700, U45*12%, U45*15%))))</f>
        <v/>
      </c>
    </row>
    <row r="46">
      <c r="A46" s="2" t="inlineStr">
        <is>
          <t>HX80I-TPU-PK-E</t>
        </is>
      </c>
      <c r="B46" s="3" t="inlineStr">
        <is>
          <t>Invisible Kickstand Airbag Shockproof Case for Honor X80i / X70 / X60 Pro – Clear Hybrid TPU Protective Back Cover</t>
        </is>
      </c>
      <c r="C46" s="3" t="inlineStr">
        <is>
          <t>Sangjieshi Suitable for Honor X80Promax Mobile Phone Case X70 with Stand X60Pro Transparent X50 Full-Cover Airbag</t>
        </is>
      </c>
      <c r="D46" s="2" t="inlineStr">
        <is>
          <t>TPU</t>
        </is>
      </c>
      <c r="E46" s="2" t="inlineStr">
        <is>
          <t>Pink</t>
        </is>
      </c>
      <c r="F46" s="2" t="inlineStr">
        <is>
          <t>Honor X80i</t>
        </is>
      </c>
      <c r="G46" s="2" t="inlineStr">
        <is>
          <t>No</t>
        </is>
      </c>
      <c r="H46" s="2" t="inlineStr">
        <is>
          <t>Yes</t>
        </is>
      </c>
      <c r="I46" s="2" t="inlineStr">
        <is>
          <t>Link</t>
        </is>
      </c>
      <c r="J46" s="3" t="inlineStr">
        <is>
          <t>https://moveon.global/BD_en/products/0000000125WCGFR9-sangjieshi-suitable-for-honor-x80promax-mobile-phone-case-x70-with-stand-x60pro-transparent-x50-full-cover-airbag/1AD8341131122671</t>
        </is>
      </c>
      <c r="K46" s="3" t="inlineStr">
        <is>
          <t>Honor X80i/TPU/sku/HX80I-TPU-PK-E.jpg</t>
        </is>
      </c>
      <c r="L46" s="4" t="n">
        <v>234.08</v>
      </c>
      <c r="M46" s="4" t="n">
        <v>10</v>
      </c>
      <c r="N46" s="4" t="n">
        <v>50</v>
      </c>
      <c r="O46" s="4" t="n">
        <v>5</v>
      </c>
      <c r="P46" s="4" t="n">
        <v>11.5</v>
      </c>
      <c r="Q46" s="4" t="n">
        <v>20</v>
      </c>
      <c r="R46" s="4" t="n">
        <v>0</v>
      </c>
      <c r="S46" s="4">
        <f>SUM(L46:R46)</f>
        <v/>
      </c>
      <c r="T46" s="4">
        <f>IF(S46&lt;300, S46*1.4, IF(S46&lt;400, S46*1.33, S46*1.25))</f>
        <v/>
      </c>
      <c r="U46" s="5">
        <f>INT(T46/100)*100 + IF(MOD(ROUND(T46,0),100)&lt;25, 0, IF(MOD(ROUND(T46,0),100)&lt;=74, 49, 99))</f>
        <v/>
      </c>
      <c r="V46" s="4">
        <f>IF(U46&lt;300, 0, MIN(99, IF(U46&lt;500, U46*7%, IF(U46&lt;700, U46*12%, U46*15%))))</f>
        <v/>
      </c>
    </row>
    <row r="47">
      <c r="A47" s="6" t="inlineStr">
        <is>
          <t>HX80I-TPU-GN-E</t>
        </is>
      </c>
      <c r="B47" s="7" t="inlineStr">
        <is>
          <t>Invisible Kickstand Airbag Shockproof Case for Honor X80i / X70 / X60 Pro – Clear Hybrid TPU Protective Back Cover</t>
        </is>
      </c>
      <c r="C47" s="7" t="inlineStr">
        <is>
          <t>Sangjieshi Suitable for Honor X80Promax Mobile Phone Case X70 with Stand X60Pro Transparent X50 Full-Cover Airbag</t>
        </is>
      </c>
      <c r="D47" s="6" t="inlineStr">
        <is>
          <t>TPU</t>
        </is>
      </c>
      <c r="E47" s="6" t="inlineStr">
        <is>
          <t>Green</t>
        </is>
      </c>
      <c r="F47" s="6" t="inlineStr">
        <is>
          <t>Honor X80i</t>
        </is>
      </c>
      <c r="G47" s="6" t="inlineStr">
        <is>
          <t>No</t>
        </is>
      </c>
      <c r="H47" s="6" t="inlineStr">
        <is>
          <t>Yes</t>
        </is>
      </c>
      <c r="I47" s="6" t="inlineStr">
        <is>
          <t>Link</t>
        </is>
      </c>
      <c r="J47" s="7" t="inlineStr">
        <is>
          <t>https://moveon.global/BD_en/products/0000000125WCGFR9-sangjieshi-suitable-for-honor-x80promax-mobile-phone-case-x70-with-stand-x60pro-transparent-x50-full-cover-airbag/1AD8341131122671</t>
        </is>
      </c>
      <c r="K47" s="7" t="inlineStr">
        <is>
          <t>Honor X80i/TPU/sku/HX80I-TPU-GN-E.jpg</t>
        </is>
      </c>
      <c r="L47" s="8" t="n">
        <v>234.08</v>
      </c>
      <c r="M47" s="8" t="n">
        <v>10</v>
      </c>
      <c r="N47" s="8" t="n">
        <v>50</v>
      </c>
      <c r="O47" s="8" t="n">
        <v>5</v>
      </c>
      <c r="P47" s="8" t="n">
        <v>11.5</v>
      </c>
      <c r="Q47" s="8" t="n">
        <v>20</v>
      </c>
      <c r="R47" s="8" t="n">
        <v>0</v>
      </c>
      <c r="S47" s="8">
        <f>SUM(L47:R47)</f>
        <v/>
      </c>
      <c r="T47" s="8">
        <f>IF(S47&lt;300, S47*1.4, IF(S47&lt;400, S47*1.33, S47*1.25))</f>
        <v/>
      </c>
      <c r="U47" s="9">
        <f>INT(T47/100)*100 + IF(MOD(ROUND(T47,0),100)&lt;25, 0, IF(MOD(ROUND(T47,0),100)&lt;=74, 49, 99))</f>
        <v/>
      </c>
      <c r="V47" s="8">
        <f>IF(U47&lt;300, 0, MIN(99, IF(U47&lt;500, U47*7%, IF(U47&lt;700, U47*12%, U47*15%))))</f>
        <v/>
      </c>
    </row>
    <row r="48">
      <c r="A48" s="2" t="inlineStr">
        <is>
          <t>HX80I-PC-GY-M</t>
        </is>
      </c>
      <c r="B48" s="3" t="inlineStr">
        <is>
          <t>Micro-Matte Magnetic Shockproof Case for Honor 600 Lite / Honor X80i – Ultra-Slim Hard Protective Back Cover</t>
        </is>
      </c>
      <c r="C48" s="3" t="inlineStr">
        <is>
          <t>Suitable for Huawei Honor X80I Mobile Phone Case, Honor 600Lite Micro-Matte Magnetic Protective Cover, All-Inclusive Anti-Fall Cover</t>
        </is>
      </c>
      <c r="D48" s="2" t="inlineStr">
        <is>
          <t>Hard PC</t>
        </is>
      </c>
      <c r="E48" s="2" t="inlineStr">
        <is>
          <t>Titanium Gray</t>
        </is>
      </c>
      <c r="F48" s="2" t="inlineStr">
        <is>
          <t>Honor x80i</t>
        </is>
      </c>
      <c r="G48" s="2" t="inlineStr">
        <is>
          <t>No</t>
        </is>
      </c>
      <c r="H48" s="2" t="inlineStr">
        <is>
          <t>Yes</t>
        </is>
      </c>
      <c r="I48" s="2" t="inlineStr">
        <is>
          <t>Link</t>
        </is>
      </c>
      <c r="J48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48" s="3" t="inlineStr">
        <is>
          <t>Honor x80i/Hard PC/sku/HX80I-PC-GY-M.jpg</t>
        </is>
      </c>
      <c r="L48" s="4" t="n">
        <v>478.8</v>
      </c>
      <c r="M48" s="4" t="n">
        <v>10</v>
      </c>
      <c r="N48" s="4" t="n">
        <v>50</v>
      </c>
      <c r="O48" s="4" t="n">
        <v>5</v>
      </c>
      <c r="P48" s="4" t="n">
        <v>11.5</v>
      </c>
      <c r="Q48" s="4" t="n">
        <v>20</v>
      </c>
      <c r="R48" s="4" t="n">
        <v>0</v>
      </c>
      <c r="S48" s="4">
        <f>SUM(L48:R48)</f>
        <v/>
      </c>
      <c r="T48" s="4">
        <f>IF(S48&lt;300, S48*1.4, IF(S48&lt;400, S48*1.33, S48*1.25))</f>
        <v/>
      </c>
      <c r="U48" s="5">
        <f>INT(T48/100)*100 + IF(MOD(ROUND(T48,0),100)&lt;25, 0, IF(MOD(ROUND(T48,0),100)&lt;=74, 49, 99))</f>
        <v/>
      </c>
      <c r="V48" s="4">
        <f>IF(U48&lt;300, 0, MIN(99, IF(U48&lt;500, U48*7%, IF(U48&lt;700, U48*12%, U48*15%))))</f>
        <v/>
      </c>
    </row>
    <row r="49">
      <c r="A49" s="6" t="inlineStr">
        <is>
          <t>HX80I-PC-WT-M</t>
        </is>
      </c>
      <c r="B49" s="7" t="inlineStr">
        <is>
          <t>Micro-Matte Magnetic Shockproof Case for Honor 600 Lite / Honor X80i – Ultra-Slim Hard Protective Back Cover</t>
        </is>
      </c>
      <c r="C49" s="7" t="inlineStr">
        <is>
          <t>Suitable for Huawei Honor X80I Mobile Phone Case, Honor 600Lite Micro-Matte Magnetic Protective Cover, All-Inclusive Anti-Fall Cover</t>
        </is>
      </c>
      <c r="D49" s="6" t="inlineStr">
        <is>
          <t>Hard PC</t>
        </is>
      </c>
      <c r="E49" s="6" t="inlineStr">
        <is>
          <t>Silver White</t>
        </is>
      </c>
      <c r="F49" s="6" t="inlineStr">
        <is>
          <t>Honor x80i</t>
        </is>
      </c>
      <c r="G49" s="6" t="inlineStr">
        <is>
          <t>No</t>
        </is>
      </c>
      <c r="H49" s="6" t="inlineStr">
        <is>
          <t>Yes</t>
        </is>
      </c>
      <c r="I49" s="6" t="inlineStr">
        <is>
          <t>Link</t>
        </is>
      </c>
      <c r="J49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49" s="7" t="inlineStr">
        <is>
          <t>Honor x80i/Hard PC/sku/HX80I-PC-WT-M.jpg</t>
        </is>
      </c>
      <c r="L49" s="8" t="n">
        <v>478.8</v>
      </c>
      <c r="M49" s="8" t="n">
        <v>10</v>
      </c>
      <c r="N49" s="8" t="n">
        <v>50</v>
      </c>
      <c r="O49" s="8" t="n">
        <v>5</v>
      </c>
      <c r="P49" s="8" t="n">
        <v>11.5</v>
      </c>
      <c r="Q49" s="8" t="n">
        <v>20</v>
      </c>
      <c r="R49" s="8" t="n">
        <v>0</v>
      </c>
      <c r="S49" s="8">
        <f>SUM(L49:R49)</f>
        <v/>
      </c>
      <c r="T49" s="8">
        <f>IF(S49&lt;300, S49*1.4, IF(S49&lt;400, S49*1.33, S49*1.25))</f>
        <v/>
      </c>
      <c r="U49" s="9">
        <f>INT(T49/100)*100 + IF(MOD(ROUND(T49,0),100)&lt;25, 0, IF(MOD(ROUND(T49,0),100)&lt;=74, 49, 99))</f>
        <v/>
      </c>
      <c r="V49" s="8">
        <f>IF(U49&lt;300, 0, MIN(99, IF(U49&lt;500, U49*7%, IF(U49&lt;700, U49*12%, U49*15%))))</f>
        <v/>
      </c>
    </row>
    <row r="50">
      <c r="A50" s="2" t="inlineStr">
        <is>
          <t>HX80I-PC-GN-M</t>
        </is>
      </c>
      <c r="B50" s="3" t="inlineStr">
        <is>
          <t>Micro-Matte Magnetic Shockproof Case for Honor 600 Lite / Honor X80i – Ultra-Slim Hard Protective Back Cover</t>
        </is>
      </c>
      <c r="C50" s="3" t="inlineStr">
        <is>
          <t>Suitable for Huawei Honor X80I Mobile Phone Case, Honor 600Lite Micro-Matte Magnetic Protective Cover, All-Inclusive Anti-Fall Cover</t>
        </is>
      </c>
      <c r="D50" s="2" t="inlineStr">
        <is>
          <t>Hard PC</t>
        </is>
      </c>
      <c r="E50" s="2" t="inlineStr">
        <is>
          <t>Feitianqing</t>
        </is>
      </c>
      <c r="F50" s="2" t="inlineStr">
        <is>
          <t>Honor x80i</t>
        </is>
      </c>
      <c r="G50" s="2" t="inlineStr">
        <is>
          <t>No</t>
        </is>
      </c>
      <c r="H50" s="2" t="inlineStr">
        <is>
          <t>Yes</t>
        </is>
      </c>
      <c r="I50" s="2" t="inlineStr">
        <is>
          <t>Link</t>
        </is>
      </c>
      <c r="J50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0" s="3" t="inlineStr">
        <is>
          <t>Honor x80i/Hard PC/sku/HX80I-PC-GN-M.jpg</t>
        </is>
      </c>
      <c r="L50" s="4" t="n">
        <v>478.8</v>
      </c>
      <c r="M50" s="4" t="n">
        <v>10</v>
      </c>
      <c r="N50" s="4" t="n">
        <v>50</v>
      </c>
      <c r="O50" s="4" t="n">
        <v>5</v>
      </c>
      <c r="P50" s="4" t="n">
        <v>11.5</v>
      </c>
      <c r="Q50" s="4" t="n">
        <v>20</v>
      </c>
      <c r="R50" s="4" t="n">
        <v>0</v>
      </c>
      <c r="S50" s="4">
        <f>SUM(L50:R50)</f>
        <v/>
      </c>
      <c r="T50" s="4">
        <f>IF(S50&lt;300, S50*1.4, IF(S50&lt;400, S50*1.33, S50*1.25))</f>
        <v/>
      </c>
      <c r="U50" s="5">
        <f>INT(T50/100)*100 + IF(MOD(ROUND(T50,0),100)&lt;25, 0, IF(MOD(ROUND(T50,0),100)&lt;=74, 49, 99))</f>
        <v/>
      </c>
      <c r="V50" s="4">
        <f>IF(U50&lt;300, 0, MIN(99, IF(U50&lt;500, U50*7%, IF(U50&lt;700, U50*12%, U50*15%))))</f>
        <v/>
      </c>
    </row>
    <row r="51">
      <c r="A51" s="6" t="inlineStr">
        <is>
          <t>HX80I-PC-GD-M</t>
        </is>
      </c>
      <c r="B51" s="7" t="inlineStr">
        <is>
          <t>Micro-Matte Magnetic Shockproof Case for Honor 600 Lite / Honor X80i – Ultra-Slim Hard Protective Back Cover</t>
        </is>
      </c>
      <c r="C51" s="7" t="inlineStr">
        <is>
          <t>Suitable for Huawei Honor X80I Mobile Phone Case, Honor 600Lite Micro-Matte Magnetic Protective Cover, All-Inclusive Anti-Fall Cover</t>
        </is>
      </c>
      <c r="D51" s="6" t="inlineStr">
        <is>
          <t>Hard PC</t>
        </is>
      </c>
      <c r="E51" s="6" t="inlineStr">
        <is>
          <t>Desert Gold</t>
        </is>
      </c>
      <c r="F51" s="6" t="inlineStr">
        <is>
          <t>Honor x80i</t>
        </is>
      </c>
      <c r="G51" s="6" t="inlineStr">
        <is>
          <t>No</t>
        </is>
      </c>
      <c r="H51" s="6" t="inlineStr">
        <is>
          <t>Yes</t>
        </is>
      </c>
      <c r="I51" s="6" t="inlineStr">
        <is>
          <t>Link</t>
        </is>
      </c>
      <c r="J51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1" s="7" t="inlineStr">
        <is>
          <t>Honor x80i/Hard PC/sku/HX80I-PC-GD-M.jpg</t>
        </is>
      </c>
      <c r="L51" s="8" t="n">
        <v>478.8</v>
      </c>
      <c r="M51" s="8" t="n">
        <v>10</v>
      </c>
      <c r="N51" s="8" t="n">
        <v>50</v>
      </c>
      <c r="O51" s="8" t="n">
        <v>5</v>
      </c>
      <c r="P51" s="8" t="n">
        <v>11.5</v>
      </c>
      <c r="Q51" s="8" t="n">
        <v>20</v>
      </c>
      <c r="R51" s="8" t="n">
        <v>0</v>
      </c>
      <c r="S51" s="8">
        <f>SUM(L51:R51)</f>
        <v/>
      </c>
      <c r="T51" s="8">
        <f>IF(S51&lt;300, S51*1.4, IF(S51&lt;400, S51*1.33, S51*1.25))</f>
        <v/>
      </c>
      <c r="U51" s="9">
        <f>INT(T51/100)*100 + IF(MOD(ROUND(T51,0),100)&lt;25, 0, IF(MOD(ROUND(T51,0),100)&lt;=74, 49, 99))</f>
        <v/>
      </c>
      <c r="V51" s="8">
        <f>IF(U51&lt;300, 0, MIN(99, IF(U51&lt;500, U51*7%, IF(U51&lt;700, U51*12%, U51*15%))))</f>
        <v/>
      </c>
    </row>
    <row r="52">
      <c r="A52" s="2" t="inlineStr">
        <is>
          <t>HX80I-PC-BK-M</t>
        </is>
      </c>
      <c r="B52" s="3" t="inlineStr">
        <is>
          <t>Micro-Matte Magnetic Shockproof Case for Honor 600 Lite / Honor X80i – Ultra-Slim Hard Protective Back Cover</t>
        </is>
      </c>
      <c r="C52" s="3" t="inlineStr">
        <is>
          <t>Suitable for Huawei Honor X80I Mobile Phone Case, Honor 600Lite Micro-Matte Magnetic Protective Cover, All-Inclusive Anti-Fall Cover</t>
        </is>
      </c>
      <c r="D52" s="2" t="inlineStr">
        <is>
          <t>Hard PC</t>
        </is>
      </c>
      <c r="E52" s="2" t="inlineStr">
        <is>
          <t>Graphite Black</t>
        </is>
      </c>
      <c r="F52" s="2" t="inlineStr">
        <is>
          <t>Honor x80i</t>
        </is>
      </c>
      <c r="G52" s="2" t="inlineStr">
        <is>
          <t>No</t>
        </is>
      </c>
      <c r="H52" s="2" t="inlineStr">
        <is>
          <t>Yes</t>
        </is>
      </c>
      <c r="I52" s="2" t="inlineStr">
        <is>
          <t>Link</t>
        </is>
      </c>
      <c r="J52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2" s="3" t="inlineStr">
        <is>
          <t>Honor x80i/Hard PC/sku/HX80I-PC-BK-M.jpg</t>
        </is>
      </c>
      <c r="L52" s="4" t="n">
        <v>478.8</v>
      </c>
      <c r="M52" s="4" t="n">
        <v>10</v>
      </c>
      <c r="N52" s="4" t="n">
        <v>50</v>
      </c>
      <c r="O52" s="4" t="n">
        <v>5</v>
      </c>
      <c r="P52" s="4" t="n">
        <v>11.5</v>
      </c>
      <c r="Q52" s="4" t="n">
        <v>20</v>
      </c>
      <c r="R52" s="4" t="n">
        <v>0</v>
      </c>
      <c r="S52" s="4">
        <f>SUM(L52:R52)</f>
        <v/>
      </c>
      <c r="T52" s="4">
        <f>IF(S52&lt;300, S52*1.4, IF(S52&lt;400, S52*1.33, S52*1.25))</f>
        <v/>
      </c>
      <c r="U52" s="5">
        <f>INT(T52/100)*100 + IF(MOD(ROUND(T52,0),100)&lt;25, 0, IF(MOD(ROUND(T52,0),100)&lt;=74, 49, 99))</f>
        <v/>
      </c>
      <c r="V52" s="4">
        <f>IF(U52&lt;300, 0, MIN(99, IF(U52&lt;500, U52*7%, IF(U52&lt;700, U52*12%, U52*15%))))</f>
        <v/>
      </c>
    </row>
    <row r="53">
      <c r="A53" s="6" t="inlineStr">
        <is>
          <t>H600L-PC-GY-M</t>
        </is>
      </c>
      <c r="B53" s="7" t="inlineStr">
        <is>
          <t>Micro-Matte Magnetic Shockproof Case for Honor 600 Lite / Honor X80i – Ultra-Slim Hard Protective Back Cover</t>
        </is>
      </c>
      <c r="C53" s="7" t="inlineStr">
        <is>
          <t>Suitable for Huawei Honor X80I Mobile Phone Case, Honor 600Lite Micro-Matte Magnetic Protective Cover, All-Inclusive Anti-Fall Cover</t>
        </is>
      </c>
      <c r="D53" s="6" t="inlineStr">
        <is>
          <t>Hard PC</t>
        </is>
      </c>
      <c r="E53" s="6" t="inlineStr">
        <is>
          <t>Titanium Gray</t>
        </is>
      </c>
      <c r="F53" s="6" t="inlineStr">
        <is>
          <t>Honor 600lite foreign version</t>
        </is>
      </c>
      <c r="G53" s="6" t="inlineStr">
        <is>
          <t>No</t>
        </is>
      </c>
      <c r="H53" s="6" t="inlineStr">
        <is>
          <t>Yes</t>
        </is>
      </c>
      <c r="I53" s="6" t="inlineStr">
        <is>
          <t>Link</t>
        </is>
      </c>
      <c r="J53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3" s="7" t="inlineStr">
        <is>
          <t>Honor 600lite foreign version/Hard PC/sku/H600L-PC-GY-M.jpg</t>
        </is>
      </c>
      <c r="L53" s="8" t="n">
        <v>478.8</v>
      </c>
      <c r="M53" s="8" t="n">
        <v>10</v>
      </c>
      <c r="N53" s="8" t="n">
        <v>50</v>
      </c>
      <c r="O53" s="8" t="n">
        <v>5</v>
      </c>
      <c r="P53" s="8" t="n">
        <v>11.5</v>
      </c>
      <c r="Q53" s="8" t="n">
        <v>20</v>
      </c>
      <c r="R53" s="8" t="n">
        <v>0</v>
      </c>
      <c r="S53" s="8">
        <f>SUM(L53:R53)</f>
        <v/>
      </c>
      <c r="T53" s="8">
        <f>IF(S53&lt;300, S53*1.4, IF(S53&lt;400, S53*1.33, S53*1.25))</f>
        <v/>
      </c>
      <c r="U53" s="9">
        <f>INT(T53/100)*100 + IF(MOD(ROUND(T53,0),100)&lt;25, 0, IF(MOD(ROUND(T53,0),100)&lt;=74, 49, 99))</f>
        <v/>
      </c>
      <c r="V53" s="8">
        <f>IF(U53&lt;300, 0, MIN(99, IF(U53&lt;500, U53*7%, IF(U53&lt;700, U53*12%, U53*15%))))</f>
        <v/>
      </c>
    </row>
    <row r="54">
      <c r="A54" s="2" t="inlineStr">
        <is>
          <t>H600L-PC-WT-M</t>
        </is>
      </c>
      <c r="B54" s="3" t="inlineStr">
        <is>
          <t>Micro-Matte Magnetic Shockproof Case for Honor 600 Lite / Honor X80i – Ultra-Slim Hard Protective Back Cover</t>
        </is>
      </c>
      <c r="C54" s="3" t="inlineStr">
        <is>
          <t>Suitable for Huawei Honor X80I Mobile Phone Case, Honor 600Lite Micro-Matte Magnetic Protective Cover, All-Inclusive Anti-Fall Cover</t>
        </is>
      </c>
      <c r="D54" s="2" t="inlineStr">
        <is>
          <t>Hard PC</t>
        </is>
      </c>
      <c r="E54" s="2" t="inlineStr">
        <is>
          <t>Silver White</t>
        </is>
      </c>
      <c r="F54" s="2" t="inlineStr">
        <is>
          <t>Honor 600lite foreign version</t>
        </is>
      </c>
      <c r="G54" s="2" t="inlineStr">
        <is>
          <t>No</t>
        </is>
      </c>
      <c r="H54" s="2" t="inlineStr">
        <is>
          <t>Yes</t>
        </is>
      </c>
      <c r="I54" s="2" t="inlineStr">
        <is>
          <t>Link</t>
        </is>
      </c>
      <c r="J54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4" s="3" t="inlineStr">
        <is>
          <t>Honor 600lite foreign version/Hard PC/sku/H600L-PC-WT-M.jpg</t>
        </is>
      </c>
      <c r="L54" s="4" t="n">
        <v>478.8</v>
      </c>
      <c r="M54" s="4" t="n">
        <v>10</v>
      </c>
      <c r="N54" s="4" t="n">
        <v>50</v>
      </c>
      <c r="O54" s="4" t="n">
        <v>5</v>
      </c>
      <c r="P54" s="4" t="n">
        <v>11.5</v>
      </c>
      <c r="Q54" s="4" t="n">
        <v>20</v>
      </c>
      <c r="R54" s="4" t="n">
        <v>0</v>
      </c>
      <c r="S54" s="4">
        <f>SUM(L54:R54)</f>
        <v/>
      </c>
      <c r="T54" s="4">
        <f>IF(S54&lt;300, S54*1.4, IF(S54&lt;400, S54*1.33, S54*1.25))</f>
        <v/>
      </c>
      <c r="U54" s="5">
        <f>INT(T54/100)*100 + IF(MOD(ROUND(T54,0),100)&lt;25, 0, IF(MOD(ROUND(T54,0),100)&lt;=74, 49, 99))</f>
        <v/>
      </c>
      <c r="V54" s="4">
        <f>IF(U54&lt;300, 0, MIN(99, IF(U54&lt;500, U54*7%, IF(U54&lt;700, U54*12%, U54*15%))))</f>
        <v/>
      </c>
    </row>
    <row r="55">
      <c r="A55" s="6" t="inlineStr">
        <is>
          <t>H600L-PC-GN-M</t>
        </is>
      </c>
      <c r="B55" s="7" t="inlineStr">
        <is>
          <t>Micro-Matte Magnetic Shockproof Case for Honor 600 Lite / Honor X80i – Ultra-Slim Hard Protective Back Cover</t>
        </is>
      </c>
      <c r="C55" s="7" t="inlineStr">
        <is>
          <t>Suitable for Huawei Honor X80I Mobile Phone Case, Honor 600Lite Micro-Matte Magnetic Protective Cover, All-Inclusive Anti-Fall Cover</t>
        </is>
      </c>
      <c r="D55" s="6" t="inlineStr">
        <is>
          <t>Hard PC</t>
        </is>
      </c>
      <c r="E55" s="6" t="inlineStr">
        <is>
          <t>Feitianqing</t>
        </is>
      </c>
      <c r="F55" s="6" t="inlineStr">
        <is>
          <t>Honor 600lite foreign version</t>
        </is>
      </c>
      <c r="G55" s="6" t="inlineStr">
        <is>
          <t>No</t>
        </is>
      </c>
      <c r="H55" s="6" t="inlineStr">
        <is>
          <t>Yes</t>
        </is>
      </c>
      <c r="I55" s="6" t="inlineStr">
        <is>
          <t>Link</t>
        </is>
      </c>
      <c r="J55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5" s="7" t="inlineStr">
        <is>
          <t>Honor 600lite foreign version/Hard PC/sku/H600L-PC-GN-M.jpg</t>
        </is>
      </c>
      <c r="L55" s="8" t="n">
        <v>478.8</v>
      </c>
      <c r="M55" s="8" t="n">
        <v>10</v>
      </c>
      <c r="N55" s="8" t="n">
        <v>50</v>
      </c>
      <c r="O55" s="8" t="n">
        <v>5</v>
      </c>
      <c r="P55" s="8" t="n">
        <v>11.5</v>
      </c>
      <c r="Q55" s="8" t="n">
        <v>20</v>
      </c>
      <c r="R55" s="8" t="n">
        <v>0</v>
      </c>
      <c r="S55" s="8">
        <f>SUM(L55:R55)</f>
        <v/>
      </c>
      <c r="T55" s="8">
        <f>IF(S55&lt;300, S55*1.4, IF(S55&lt;400, S55*1.33, S55*1.25))</f>
        <v/>
      </c>
      <c r="U55" s="9">
        <f>INT(T55/100)*100 + IF(MOD(ROUND(T55,0),100)&lt;25, 0, IF(MOD(ROUND(T55,0),100)&lt;=74, 49, 99))</f>
        <v/>
      </c>
      <c r="V55" s="8">
        <f>IF(U55&lt;300, 0, MIN(99, IF(U55&lt;500, U55*7%, IF(U55&lt;700, U55*12%, U55*15%))))</f>
        <v/>
      </c>
    </row>
    <row r="56">
      <c r="A56" s="2" t="inlineStr">
        <is>
          <t>H600L-PC-GD-M</t>
        </is>
      </c>
      <c r="B56" s="3" t="inlineStr">
        <is>
          <t>Micro-Matte Magnetic Shockproof Case for Honor 600 Lite / Honor X80i – Ultra-Slim Hard Protective Back Cover</t>
        </is>
      </c>
      <c r="C56" s="3" t="inlineStr">
        <is>
          <t>Suitable for Huawei Honor X80I Mobile Phone Case, Honor 600Lite Micro-Matte Magnetic Protective Cover, All-Inclusive Anti-Fall Cover</t>
        </is>
      </c>
      <c r="D56" s="2" t="inlineStr">
        <is>
          <t>Hard PC</t>
        </is>
      </c>
      <c r="E56" s="2" t="inlineStr">
        <is>
          <t>Desert Gold</t>
        </is>
      </c>
      <c r="F56" s="2" t="inlineStr">
        <is>
          <t>Honor 600lite foreign version</t>
        </is>
      </c>
      <c r="G56" s="2" t="inlineStr">
        <is>
          <t>No</t>
        </is>
      </c>
      <c r="H56" s="2" t="inlineStr">
        <is>
          <t>Yes</t>
        </is>
      </c>
      <c r="I56" s="2" t="inlineStr">
        <is>
          <t>Link</t>
        </is>
      </c>
      <c r="J56" s="3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6" s="3" t="inlineStr">
        <is>
          <t>Honor 600lite foreign version/Hard PC/sku/H600L-PC-GD-M.jpg</t>
        </is>
      </c>
      <c r="L56" s="4" t="n">
        <v>478.8</v>
      </c>
      <c r="M56" s="4" t="n">
        <v>10</v>
      </c>
      <c r="N56" s="4" t="n">
        <v>50</v>
      </c>
      <c r="O56" s="4" t="n">
        <v>5</v>
      </c>
      <c r="P56" s="4" t="n">
        <v>11.5</v>
      </c>
      <c r="Q56" s="4" t="n">
        <v>20</v>
      </c>
      <c r="R56" s="4" t="n">
        <v>0</v>
      </c>
      <c r="S56" s="4">
        <f>SUM(L56:R56)</f>
        <v/>
      </c>
      <c r="T56" s="4">
        <f>IF(S56&lt;300, S56*1.4, IF(S56&lt;400, S56*1.33, S56*1.25))</f>
        <v/>
      </c>
      <c r="U56" s="5">
        <f>INT(T56/100)*100 + IF(MOD(ROUND(T56,0),100)&lt;25, 0, IF(MOD(ROUND(T56,0),100)&lt;=74, 49, 99))</f>
        <v/>
      </c>
      <c r="V56" s="4">
        <f>IF(U56&lt;300, 0, MIN(99, IF(U56&lt;500, U56*7%, IF(U56&lt;700, U56*12%, U56*15%))))</f>
        <v/>
      </c>
    </row>
    <row r="57">
      <c r="A57" s="6" t="inlineStr">
        <is>
          <t>H600L-PC-BK-M</t>
        </is>
      </c>
      <c r="B57" s="7" t="inlineStr">
        <is>
          <t>Micro-Matte Magnetic Shockproof Case for Honor 600 Lite / Honor X80i – Ultra-Slim Hard Protective Back Cover</t>
        </is>
      </c>
      <c r="C57" s="7" t="inlineStr">
        <is>
          <t>Suitable for Huawei Honor X80I Mobile Phone Case, Honor 600Lite Micro-Matte Magnetic Protective Cover, All-Inclusive Anti-Fall Cover</t>
        </is>
      </c>
      <c r="D57" s="6" t="inlineStr">
        <is>
          <t>Hard PC</t>
        </is>
      </c>
      <c r="E57" s="6" t="inlineStr">
        <is>
          <t>Graphite Black</t>
        </is>
      </c>
      <c r="F57" s="6" t="inlineStr">
        <is>
          <t>Honor 600lite foreign version</t>
        </is>
      </c>
      <c r="G57" s="6" t="inlineStr">
        <is>
          <t>No</t>
        </is>
      </c>
      <c r="H57" s="6" t="inlineStr">
        <is>
          <t>Yes</t>
        </is>
      </c>
      <c r="I57" s="6" t="inlineStr">
        <is>
          <t>Link</t>
        </is>
      </c>
      <c r="J57" s="7" t="inlineStr">
        <is>
          <t>https://moveon.global/BD_en/products/0000000J9OECX1V4-suitable-for-huawei-honor-x80i-mobile-phone-case-honor-600lite-micro-matte-magnetic-protective-cover-all-inclusive-anti-fall-cover/1AD8344754691479</t>
        </is>
      </c>
      <c r="K57" s="7" t="inlineStr">
        <is>
          <t>Honor 600lite foreign version/Hard PC/sku/H600L-PC-BK-M.jpg</t>
        </is>
      </c>
      <c r="L57" s="8" t="n">
        <v>478.8</v>
      </c>
      <c r="M57" s="8" t="n">
        <v>10</v>
      </c>
      <c r="N57" s="8" t="n">
        <v>50</v>
      </c>
      <c r="O57" s="8" t="n">
        <v>5</v>
      </c>
      <c r="P57" s="8" t="n">
        <v>11.5</v>
      </c>
      <c r="Q57" s="8" t="n">
        <v>20</v>
      </c>
      <c r="R57" s="8" t="n">
        <v>0</v>
      </c>
      <c r="S57" s="8">
        <f>SUM(L57:R57)</f>
        <v/>
      </c>
      <c r="T57" s="8">
        <f>IF(S57&lt;300, S57*1.4, IF(S57&lt;400, S57*1.33, S57*1.25))</f>
        <v/>
      </c>
      <c r="U57" s="9">
        <f>INT(T57/100)*100 + IF(MOD(ROUND(T57,0),100)&lt;25, 0, IF(MOD(ROUND(T57,0),100)&lt;=74, 49, 99))</f>
        <v/>
      </c>
      <c r="V57" s="8">
        <f>IF(U57&lt;300, 0, MIN(99, IF(U57&lt;500, U57*7%, IF(U57&lt;700, U57*12%, U57*15%))))</f>
        <v/>
      </c>
    </row>
    <row r="58">
      <c r="A58" s="2" t="inlineStr">
        <is>
          <t>RN8-PC-RK-M</t>
        </is>
      </c>
      <c r="B58" s="3" t="inlineStr">
        <is>
          <t>Magnetic Heat Dissipation Matte Back Cover for Realme GT Neo 8 / Neo 7 – Ultra Thin Breathable Cooling Case with Ring Magnet</t>
        </is>
      </c>
      <c r="C58" s="3" t="inlineStr">
        <is>
          <t>Suitable for Realmeneo8 Mobile Phone Case, New Model, Realme Realmeneo7 Ultra-Thin Heat Dissipation Matte Fine Ring Magnetic Suction</t>
        </is>
      </c>
      <c r="D58" s="2" t="inlineStr">
        <is>
          <t>Hard PC</t>
        </is>
      </c>
      <c r="E58" s="2" t="inlineStr">
        <is>
          <t>Peak Rock Color</t>
        </is>
      </c>
      <c r="F58" s="2" t="inlineStr">
        <is>
          <t>Realme Neo8</t>
        </is>
      </c>
      <c r="G58" s="2" t="inlineStr">
        <is>
          <t>No</t>
        </is>
      </c>
      <c r="H58" s="2" t="inlineStr">
        <is>
          <t>Yes</t>
        </is>
      </c>
      <c r="I58" s="2" t="inlineStr">
        <is>
          <t>Link</t>
        </is>
      </c>
      <c r="J58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58" s="3" t="inlineStr">
        <is>
          <t>Realme Neo8/Hard PC/sku/RN8-PC-RK-M.jpg</t>
        </is>
      </c>
      <c r="L58" s="4" t="n">
        <v>367.08</v>
      </c>
      <c r="M58" s="4" t="n">
        <v>10</v>
      </c>
      <c r="N58" s="4" t="n">
        <v>31.2</v>
      </c>
      <c r="O58" s="4" t="n">
        <v>5</v>
      </c>
      <c r="P58" s="4" t="n">
        <v>11.5</v>
      </c>
      <c r="Q58" s="4" t="n">
        <v>20</v>
      </c>
      <c r="R58" s="4" t="n">
        <v>0</v>
      </c>
      <c r="S58" s="4">
        <f>SUM(L58:R58)</f>
        <v/>
      </c>
      <c r="T58" s="4">
        <f>IF(S58&lt;300, S58*1.4, IF(S58&lt;400, S58*1.33, S58*1.25))</f>
        <v/>
      </c>
      <c r="U58" s="5">
        <f>INT(T58/100)*100 + IF(MOD(ROUND(T58,0),100)&lt;25, 0, IF(MOD(ROUND(T58,0),100)&lt;=74, 49, 99))</f>
        <v/>
      </c>
      <c r="V58" s="4">
        <f>IF(U58&lt;300, 0, MIN(99, IF(U58&lt;500, U58*7%, IF(U58&lt;700, U58*12%, U58*15%))))</f>
        <v/>
      </c>
    </row>
    <row r="59">
      <c r="A59" s="6" t="inlineStr">
        <is>
          <t>RN8-PC-GD-M</t>
        </is>
      </c>
      <c r="B59" s="7" t="inlineStr">
        <is>
          <t>Magnetic Heat Dissipation Matte Back Cover for Realme GT Neo 8 / Neo 7 – Ultra Thin Breathable Cooling Case with Ring Magnet</t>
        </is>
      </c>
      <c r="C59" s="7" t="inlineStr">
        <is>
          <t>Suitable for Realmeneo8 Mobile Phone Case, New Model, Realme Realmeneo7 Ultra-Thin Heat Dissipation Matte Fine Ring Magnetic Suction</t>
        </is>
      </c>
      <c r="D59" s="6" t="inlineStr">
        <is>
          <t>Hard PC</t>
        </is>
      </c>
      <c r="E59" s="6" t="inlineStr">
        <is>
          <t>Desert Gold</t>
        </is>
      </c>
      <c r="F59" s="6" t="inlineStr">
        <is>
          <t>Realme Neo8</t>
        </is>
      </c>
      <c r="G59" s="6" t="inlineStr">
        <is>
          <t>No</t>
        </is>
      </c>
      <c r="H59" s="6" t="inlineStr">
        <is>
          <t>Yes</t>
        </is>
      </c>
      <c r="I59" s="6" t="inlineStr">
        <is>
          <t>Link</t>
        </is>
      </c>
      <c r="J59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59" s="7" t="inlineStr">
        <is>
          <t>Realme Neo8/Hard PC/sku/RN8-PC-GD-M.jpg</t>
        </is>
      </c>
      <c r="L59" s="8" t="n">
        <v>367.08</v>
      </c>
      <c r="M59" s="8" t="n">
        <v>10</v>
      </c>
      <c r="N59" s="8" t="n">
        <v>31.2</v>
      </c>
      <c r="O59" s="8" t="n">
        <v>5</v>
      </c>
      <c r="P59" s="8" t="n">
        <v>11.5</v>
      </c>
      <c r="Q59" s="8" t="n">
        <v>20</v>
      </c>
      <c r="R59" s="8" t="n">
        <v>0</v>
      </c>
      <c r="S59" s="8">
        <f>SUM(L59:R59)</f>
        <v/>
      </c>
      <c r="T59" s="8">
        <f>IF(S59&lt;300, S59*1.4, IF(S59&lt;400, S59*1.33, S59*1.25))</f>
        <v/>
      </c>
      <c r="U59" s="9">
        <f>INT(T59/100)*100 + IF(MOD(ROUND(T59,0),100)&lt;25, 0, IF(MOD(ROUND(T59,0),100)&lt;=74, 49, 99))</f>
        <v/>
      </c>
      <c r="V59" s="8">
        <f>IF(U59&lt;300, 0, MIN(99, IF(U59&lt;500, U59*7%, IF(U59&lt;700, U59*12%, U59*15%))))</f>
        <v/>
      </c>
    </row>
    <row r="60">
      <c r="A60" s="2" t="inlineStr">
        <is>
          <t>RN8-PC-BL-M</t>
        </is>
      </c>
      <c r="B60" s="3" t="inlineStr">
        <is>
          <t>Magnetic Heat Dissipation Matte Back Cover for Realme GT Neo 8 / Neo 7 – Ultra Thin Breathable Cooling Case with Ring Magnet</t>
        </is>
      </c>
      <c r="C60" s="3" t="inlineStr">
        <is>
          <t>Suitable for Realmeneo8 Mobile Phone Case, New Model, Realme Realmeneo7 Ultra-Thin Heat Dissipation Matte Fine Ring Magnetic Suction</t>
        </is>
      </c>
      <c r="D60" s="2" t="inlineStr">
        <is>
          <t>Hard PC</t>
        </is>
      </c>
      <c r="E60" s="2" t="inlineStr">
        <is>
          <t>Wave Blue</t>
        </is>
      </c>
      <c r="F60" s="2" t="inlineStr">
        <is>
          <t>Realme Neo8</t>
        </is>
      </c>
      <c r="G60" s="2" t="inlineStr">
        <is>
          <t>No</t>
        </is>
      </c>
      <c r="H60" s="2" t="inlineStr">
        <is>
          <t>Yes</t>
        </is>
      </c>
      <c r="I60" s="2" t="inlineStr">
        <is>
          <t>Link</t>
        </is>
      </c>
      <c r="J60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60" s="3" t="inlineStr">
        <is>
          <t>Realme Neo8/Hard PC/sku/RN8-PC-BL-M.jpg</t>
        </is>
      </c>
      <c r="L60" s="4" t="n">
        <v>367.08</v>
      </c>
      <c r="M60" s="4" t="n">
        <v>10</v>
      </c>
      <c r="N60" s="4" t="n">
        <v>31.2</v>
      </c>
      <c r="O60" s="4" t="n">
        <v>5</v>
      </c>
      <c r="P60" s="4" t="n">
        <v>11.5</v>
      </c>
      <c r="Q60" s="4" t="n">
        <v>20</v>
      </c>
      <c r="R60" s="4" t="n">
        <v>0</v>
      </c>
      <c r="S60" s="4">
        <f>SUM(L60:R60)</f>
        <v/>
      </c>
      <c r="T60" s="4">
        <f>IF(S60&lt;300, S60*1.4, IF(S60&lt;400, S60*1.33, S60*1.25))</f>
        <v/>
      </c>
      <c r="U60" s="5">
        <f>INT(T60/100)*100 + IF(MOD(ROUND(T60,0),100)&lt;25, 0, IF(MOD(ROUND(T60,0),100)&lt;=74, 49, 99))</f>
        <v/>
      </c>
      <c r="V60" s="4">
        <f>IF(U60&lt;300, 0, MIN(99, IF(U60&lt;500, U60*7%, IF(U60&lt;700, U60*12%, U60*15%))))</f>
        <v/>
      </c>
    </row>
    <row r="61">
      <c r="A61" s="6" t="inlineStr">
        <is>
          <t>RN8-PC-PK-M</t>
        </is>
      </c>
      <c r="B61" s="7" t="inlineStr">
        <is>
          <t>Magnetic Heat Dissipation Matte Back Cover for Realme GT Neo 8 / Neo 7 – Ultra Thin Breathable Cooling Case with Ring Magnet</t>
        </is>
      </c>
      <c r="C61" s="7" t="inlineStr">
        <is>
          <t>Suitable for Realmeneo8 Mobile Phone Case, New Model, Realme Realmeneo7 Ultra-Thin Heat Dissipation Matte Fine Ring Magnetic Suction</t>
        </is>
      </c>
      <c r="D61" s="6" t="inlineStr">
        <is>
          <t>Hard PC</t>
        </is>
      </c>
      <c r="E61" s="6" t="inlineStr">
        <is>
          <t>Sakura Pink</t>
        </is>
      </c>
      <c r="F61" s="6" t="inlineStr">
        <is>
          <t>Realme Neo8</t>
        </is>
      </c>
      <c r="G61" s="6" t="inlineStr">
        <is>
          <t>No</t>
        </is>
      </c>
      <c r="H61" s="6" t="inlineStr">
        <is>
          <t>Yes</t>
        </is>
      </c>
      <c r="I61" s="6" t="inlineStr">
        <is>
          <t>Link</t>
        </is>
      </c>
      <c r="J61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61" s="7" t="inlineStr">
        <is>
          <t>Realme Neo8/Hard PC/sku/RN8-PC-PK-M.jpg</t>
        </is>
      </c>
      <c r="L61" s="8" t="n">
        <v>367.08</v>
      </c>
      <c r="M61" s="8" t="n">
        <v>10</v>
      </c>
      <c r="N61" s="8" t="n">
        <v>31.2</v>
      </c>
      <c r="O61" s="8" t="n">
        <v>5</v>
      </c>
      <c r="P61" s="8" t="n">
        <v>11.5</v>
      </c>
      <c r="Q61" s="8" t="n">
        <v>20</v>
      </c>
      <c r="R61" s="8" t="n">
        <v>0</v>
      </c>
      <c r="S61" s="8">
        <f>SUM(L61:R61)</f>
        <v/>
      </c>
      <c r="T61" s="8">
        <f>IF(S61&lt;300, S61*1.4, IF(S61&lt;400, S61*1.33, S61*1.25))</f>
        <v/>
      </c>
      <c r="U61" s="9">
        <f>INT(T61/100)*100 + IF(MOD(ROUND(T61,0),100)&lt;25, 0, IF(MOD(ROUND(T61,0),100)&lt;=74, 49, 99))</f>
        <v/>
      </c>
      <c r="V61" s="8">
        <f>IF(U61&lt;300, 0, MIN(99, IF(U61&lt;500, U61*7%, IF(U61&lt;700, U61*12%, U61*15%))))</f>
        <v/>
      </c>
    </row>
    <row r="62">
      <c r="A62" s="2" t="inlineStr">
        <is>
          <t>RN8-PC-CG-M</t>
        </is>
      </c>
      <c r="B62" s="3" t="inlineStr">
        <is>
          <t>Magnetic Heat Dissipation Matte Back Cover for Realme GT Neo 8 / Neo 7 – Ultra Thin Breathable Cooling Case with Ring Magnet</t>
        </is>
      </c>
      <c r="C62" s="3" t="inlineStr">
        <is>
          <t>Suitable for Realmeneo8 Mobile Phone Case, New Model, Realme Realmeneo7 Ultra-Thin Heat Dissipation Matte Fine Ring Magnetic Suction</t>
        </is>
      </c>
      <c r="D62" s="2" t="inlineStr">
        <is>
          <t>Hard PC</t>
        </is>
      </c>
      <c r="E62" s="2" t="inlineStr">
        <is>
          <t>Carbon Gray</t>
        </is>
      </c>
      <c r="F62" s="2" t="inlineStr">
        <is>
          <t>Realme Neo8</t>
        </is>
      </c>
      <c r="G62" s="2" t="inlineStr">
        <is>
          <t>No</t>
        </is>
      </c>
      <c r="H62" s="2" t="inlineStr">
        <is>
          <t>Yes</t>
        </is>
      </c>
      <c r="I62" s="2" t="inlineStr">
        <is>
          <t>Link</t>
        </is>
      </c>
      <c r="J62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62" s="3" t="inlineStr">
        <is>
          <t>Realme Neo8/Hard PC/sku/RN8-PC-CG-M.jpg</t>
        </is>
      </c>
      <c r="L62" s="4" t="n">
        <v>367.08</v>
      </c>
      <c r="M62" s="4" t="n">
        <v>10</v>
      </c>
      <c r="N62" s="4" t="n">
        <v>31.2</v>
      </c>
      <c r="O62" s="4" t="n">
        <v>5</v>
      </c>
      <c r="P62" s="4" t="n">
        <v>11.5</v>
      </c>
      <c r="Q62" s="4" t="n">
        <v>20</v>
      </c>
      <c r="R62" s="4" t="n">
        <v>0</v>
      </c>
      <c r="S62" s="4">
        <f>SUM(L62:R62)</f>
        <v/>
      </c>
      <c r="T62" s="4">
        <f>IF(S62&lt;300, S62*1.4, IF(S62&lt;400, S62*1.33, S62*1.25))</f>
        <v/>
      </c>
      <c r="U62" s="5">
        <f>INT(T62/100)*100 + IF(MOD(ROUND(T62,0),100)&lt;25, 0, IF(MOD(ROUND(T62,0),100)&lt;=74, 49, 99))</f>
        <v/>
      </c>
      <c r="V62" s="4">
        <f>IF(U62&lt;300, 0, MIN(99, IF(U62&lt;500, U62*7%, IF(U62&lt;700, U62*12%, U62*15%))))</f>
        <v/>
      </c>
    </row>
    <row r="63">
      <c r="A63" s="6" t="inlineStr">
        <is>
          <t>RN8-PC-PR-M</t>
        </is>
      </c>
      <c r="B63" s="7" t="inlineStr">
        <is>
          <t>Magnetic Heat Dissipation Matte Back Cover for Realme GT Neo 8 / Neo 7 – Ultra Thin Breathable Cooling Case with Ring Magnet</t>
        </is>
      </c>
      <c r="C63" s="7" t="inlineStr">
        <is>
          <t>Suitable for Realmeneo8 Mobile Phone Case, New Model, Realme Realmeneo7 Ultra-Thin Heat Dissipation Matte Fine Ring Magnetic Suction</t>
        </is>
      </c>
      <c r="D63" s="6" t="inlineStr">
        <is>
          <t>Hard PC</t>
        </is>
      </c>
      <c r="E63" s="6" t="inlineStr">
        <is>
          <t>Sunset Purple</t>
        </is>
      </c>
      <c r="F63" s="6" t="inlineStr">
        <is>
          <t>Realme Neo8</t>
        </is>
      </c>
      <c r="G63" s="6" t="inlineStr">
        <is>
          <t>No</t>
        </is>
      </c>
      <c r="H63" s="6" t="inlineStr">
        <is>
          <t>Yes</t>
        </is>
      </c>
      <c r="I63" s="6" t="inlineStr">
        <is>
          <t>Link</t>
        </is>
      </c>
      <c r="J63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63" s="7" t="inlineStr">
        <is>
          <t>Realme Neo8/Hard PC/sku/RN8-PC-PR-M.jpg</t>
        </is>
      </c>
      <c r="L63" s="8" t="n">
        <v>367.08</v>
      </c>
      <c r="M63" s="8" t="n">
        <v>10</v>
      </c>
      <c r="N63" s="8" t="n">
        <v>31.2</v>
      </c>
      <c r="O63" s="8" t="n">
        <v>5</v>
      </c>
      <c r="P63" s="8" t="n">
        <v>11.5</v>
      </c>
      <c r="Q63" s="8" t="n">
        <v>20</v>
      </c>
      <c r="R63" s="8" t="n">
        <v>0</v>
      </c>
      <c r="S63" s="8">
        <f>SUM(L63:R63)</f>
        <v/>
      </c>
      <c r="T63" s="8">
        <f>IF(S63&lt;300, S63*1.4, IF(S63&lt;400, S63*1.33, S63*1.25))</f>
        <v/>
      </c>
      <c r="U63" s="9">
        <f>INT(T63/100)*100 + IF(MOD(ROUND(T63,0),100)&lt;25, 0, IF(MOD(ROUND(T63,0),100)&lt;=74, 49, 99))</f>
        <v/>
      </c>
      <c r="V63" s="8">
        <f>IF(U63&lt;300, 0, MIN(99, IF(U63&lt;500, U63*7%, IF(U63&lt;700, U63*12%, U63*15%))))</f>
        <v/>
      </c>
    </row>
    <row r="64">
      <c r="A64" s="2" t="inlineStr">
        <is>
          <t>RN8-PC-TG-M</t>
        </is>
      </c>
      <c r="B64" s="3" t="inlineStr">
        <is>
          <t>Magnetic Heat Dissipation Matte Back Cover for Realme GT Neo 8 / Neo 7 – Ultra Thin Breathable Cooling Case with Ring Magnet</t>
        </is>
      </c>
      <c r="C64" s="3" t="inlineStr">
        <is>
          <t>Suitable for Realmeneo8 Mobile Phone Case, New Model, Realme Realmeneo7 Ultra-Thin Heat Dissipation Matte Fine Ring Magnetic Suction</t>
        </is>
      </c>
      <c r="D64" s="2" t="inlineStr">
        <is>
          <t>Hard PC</t>
        </is>
      </c>
      <c r="E64" s="2" t="inlineStr">
        <is>
          <t>Titanium Gray</t>
        </is>
      </c>
      <c r="F64" s="2" t="inlineStr">
        <is>
          <t>Realme Neo8</t>
        </is>
      </c>
      <c r="G64" s="2" t="inlineStr">
        <is>
          <t>No</t>
        </is>
      </c>
      <c r="H64" s="2" t="inlineStr">
        <is>
          <t>Yes</t>
        </is>
      </c>
      <c r="I64" s="2" t="inlineStr">
        <is>
          <t>Link</t>
        </is>
      </c>
      <c r="J64" s="3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64" s="3" t="inlineStr">
        <is>
          <t>Realme Neo8/Hard PC/sku/RN8-PC-TG-M.jpg</t>
        </is>
      </c>
      <c r="L64" s="4" t="n">
        <v>367.08</v>
      </c>
      <c r="M64" s="4" t="n">
        <v>10</v>
      </c>
      <c r="N64" s="4" t="n">
        <v>31.2</v>
      </c>
      <c r="O64" s="4" t="n">
        <v>5</v>
      </c>
      <c r="P64" s="4" t="n">
        <v>11.5</v>
      </c>
      <c r="Q64" s="4" t="n">
        <v>20</v>
      </c>
      <c r="R64" s="4" t="n">
        <v>0</v>
      </c>
      <c r="S64" s="4">
        <f>SUM(L64:R64)</f>
        <v/>
      </c>
      <c r="T64" s="4">
        <f>IF(S64&lt;300, S64*1.4, IF(S64&lt;400, S64*1.33, S64*1.25))</f>
        <v/>
      </c>
      <c r="U64" s="5">
        <f>INT(T64/100)*100 + IF(MOD(ROUND(T64,0),100)&lt;25, 0, IF(MOD(ROUND(T64,0),100)&lt;=74, 49, 99))</f>
        <v/>
      </c>
      <c r="V64" s="4">
        <f>IF(U64&lt;300, 0, MIN(99, IF(U64&lt;500, U64*7%, IF(U64&lt;700, U64*12%, U64*15%))))</f>
        <v/>
      </c>
    </row>
    <row r="65">
      <c r="A65" s="6" t="inlineStr">
        <is>
          <t>RN8-PC-BK-M</t>
        </is>
      </c>
      <c r="B65" s="7" t="inlineStr">
        <is>
          <t>Magnetic Heat Dissipation Matte Back Cover for Realme GT Neo 8 / Neo 7 – Ultra Thin Breathable Cooling Case with Ring Magnet</t>
        </is>
      </c>
      <c r="C65" s="7" t="inlineStr">
        <is>
          <t>Suitable for Realmeneo8 Mobile Phone Case, New Model, Realme Realmeneo7 Ultra-Thin Heat Dissipation Matte Fine Ring Magnetic Suction</t>
        </is>
      </c>
      <c r="D65" s="6" t="inlineStr">
        <is>
          <t>Hard PC</t>
        </is>
      </c>
      <c r="E65" s="6" t="inlineStr">
        <is>
          <t>Classic Black</t>
        </is>
      </c>
      <c r="F65" s="6" t="inlineStr">
        <is>
          <t>Realme Neo8</t>
        </is>
      </c>
      <c r="G65" s="6" t="inlineStr">
        <is>
          <t>No</t>
        </is>
      </c>
      <c r="H65" s="6" t="inlineStr">
        <is>
          <t>Yes</t>
        </is>
      </c>
      <c r="I65" s="6" t="inlineStr">
        <is>
          <t>Link</t>
        </is>
      </c>
      <c r="J65" s="7" t="inlineStr">
        <is>
          <t>https://moveon.global/BD_en/products/0000000EPYKRSUQ2-suitable-for-realmeneo8-mobile-phone-case-new-model-realme-realmeneo7-ultra-thin-heat-dissipation-matte-fine-ring-magnetic-suction/1AD8326183006533</t>
        </is>
      </c>
      <c r="K65" s="7" t="inlineStr">
        <is>
          <t>Realme Neo8/Hard PC/sku/RN8-PC-BK-M.jpg</t>
        </is>
      </c>
      <c r="L65" s="8" t="n">
        <v>367.08</v>
      </c>
      <c r="M65" s="8" t="n">
        <v>10</v>
      </c>
      <c r="N65" s="8" t="n">
        <v>31.2</v>
      </c>
      <c r="O65" s="8" t="n">
        <v>5</v>
      </c>
      <c r="P65" s="8" t="n">
        <v>11.5</v>
      </c>
      <c r="Q65" s="8" t="n">
        <v>20</v>
      </c>
      <c r="R65" s="8" t="n">
        <v>0</v>
      </c>
      <c r="S65" s="8">
        <f>SUM(L65:R65)</f>
        <v/>
      </c>
      <c r="T65" s="8">
        <f>IF(S65&lt;300, S65*1.4, IF(S65&lt;400, S65*1.33, S65*1.25))</f>
        <v/>
      </c>
      <c r="U65" s="9">
        <f>INT(T65/100)*100 + IF(MOD(ROUND(T65,0),100)&lt;25, 0, IF(MOD(ROUND(T65,0),100)&lt;=74, 49, 99))</f>
        <v/>
      </c>
      <c r="V65" s="8">
        <f>IF(U65&lt;300, 0, MIN(99, IF(U65&lt;500, U65*7%, IF(U65&lt;700, U65*12%, U65*15%))))</f>
        <v/>
      </c>
    </row>
    <row r="66">
      <c r="A66" s="2" t="inlineStr">
        <is>
          <t>RN8-SIL-BK-M</t>
        </is>
      </c>
      <c r="B66" s="3" t="inlineStr">
        <is>
          <t>Magnetic Graphene Cooling Silicone Case for Realme GT Neo 8 – Snowflake Heat Dissipation Airbag Anti-Drop Back Cover</t>
        </is>
      </c>
      <c r="C66" s="3" t="inlineStr">
        <is>
          <t>Suitable for Realme Neo8 Mobile Phone Case, New Creative Graphene Cooling Airbag Anti-Fall Silicone Case Realmeneo8</t>
        </is>
      </c>
      <c r="D66" s="2" t="inlineStr">
        <is>
          <t>Silicone</t>
        </is>
      </c>
      <c r="E66" s="2" t="inlineStr">
        <is>
          <t>Obsidian Black</t>
        </is>
      </c>
      <c r="F66" s="2" t="inlineStr">
        <is>
          <t>Realme Neo8</t>
        </is>
      </c>
      <c r="G66" s="2" t="inlineStr">
        <is>
          <t>No</t>
        </is>
      </c>
      <c r="H66" s="2" t="inlineStr">
        <is>
          <t>Yes</t>
        </is>
      </c>
      <c r="I66" s="2" t="inlineStr">
        <is>
          <t>Link</t>
        </is>
      </c>
      <c r="J66" s="3" t="inlineStr">
        <is>
          <t>https://moveon.global/BD_en/products/0000000MV152HHVF-suitable-for-realme-neo8-mobile-phone-case-new-creative-graphene-cooling-airbag-anti-fall-silicone-case-realmeneo8/1AD8330600315865</t>
        </is>
      </c>
      <c r="K66" s="3" t="inlineStr">
        <is>
          <t>Realme Neo8/Silicone/sku/RN8-SIL-BK-M.jpg</t>
        </is>
      </c>
      <c r="L66" s="4" t="n">
        <v>363.66</v>
      </c>
      <c r="M66" s="4" t="n">
        <v>10</v>
      </c>
      <c r="N66" s="4" t="n">
        <v>50</v>
      </c>
      <c r="O66" s="4" t="n">
        <v>5</v>
      </c>
      <c r="P66" s="4" t="n">
        <v>11.5</v>
      </c>
      <c r="Q66" s="4" t="n">
        <v>20</v>
      </c>
      <c r="R66" s="4" t="n">
        <v>0</v>
      </c>
      <c r="S66" s="4">
        <f>SUM(L66:R66)</f>
        <v/>
      </c>
      <c r="T66" s="4">
        <f>IF(S66&lt;300, S66*1.4, IF(S66&lt;400, S66*1.33, S66*1.25))</f>
        <v/>
      </c>
      <c r="U66" s="5">
        <f>INT(T66/100)*100 + IF(MOD(ROUND(T66,0),100)&lt;25, 0, IF(MOD(ROUND(T66,0),100)&lt;=74, 49, 99))</f>
        <v/>
      </c>
      <c r="V66" s="4">
        <f>IF(U66&lt;300, 0, MIN(99, IF(U66&lt;500, U66*7%, IF(U66&lt;700, U66*12%, U66*15%))))</f>
        <v/>
      </c>
    </row>
    <row r="67">
      <c r="A67" s="6" t="inlineStr">
        <is>
          <t>RN8-SIL-GY-M</t>
        </is>
      </c>
      <c r="B67" s="7" t="inlineStr">
        <is>
          <t>Magnetic Graphene Cooling Silicone Case for Realme GT Neo 8 – Snowflake Heat Dissipation Airbag Anti-Drop Back Cover</t>
        </is>
      </c>
      <c r="C67" s="7" t="inlineStr">
        <is>
          <t>Suitable for Realme Neo8 Mobile Phone Case, New Creative Graphene Cooling Airbag Anti-Fall Silicone Case Realmeneo8</t>
        </is>
      </c>
      <c r="D67" s="6" t="inlineStr">
        <is>
          <t>Silicone</t>
        </is>
      </c>
      <c r="E67" s="6" t="inlineStr">
        <is>
          <t>Matte Gray</t>
        </is>
      </c>
      <c r="F67" s="6" t="inlineStr">
        <is>
          <t>Realme Neo8</t>
        </is>
      </c>
      <c r="G67" s="6" t="inlineStr">
        <is>
          <t>No</t>
        </is>
      </c>
      <c r="H67" s="6" t="inlineStr">
        <is>
          <t>Yes</t>
        </is>
      </c>
      <c r="I67" s="6" t="inlineStr">
        <is>
          <t>Link</t>
        </is>
      </c>
      <c r="J67" s="7" t="inlineStr">
        <is>
          <t>https://moveon.global/BD_en/products/0000000MV152HHVF-suitable-for-realme-neo8-mobile-phone-case-new-creative-graphene-cooling-airbag-anti-fall-silicone-case-realmeneo8/1AD8330600315865</t>
        </is>
      </c>
      <c r="K67" s="7" t="inlineStr">
        <is>
          <t>Realme Neo8/Silicone/sku/RN8-SIL-GY-M.jpg</t>
        </is>
      </c>
      <c r="L67" s="8" t="n">
        <v>363.66</v>
      </c>
      <c r="M67" s="8" t="n">
        <v>10</v>
      </c>
      <c r="N67" s="8" t="n">
        <v>50</v>
      </c>
      <c r="O67" s="8" t="n">
        <v>5</v>
      </c>
      <c r="P67" s="8" t="n">
        <v>11.5</v>
      </c>
      <c r="Q67" s="8" t="n">
        <v>20</v>
      </c>
      <c r="R67" s="8" t="n">
        <v>0</v>
      </c>
      <c r="S67" s="8">
        <f>SUM(L67:R67)</f>
        <v/>
      </c>
      <c r="T67" s="8">
        <f>IF(S67&lt;300, S67*1.4, IF(S67&lt;400, S67*1.33, S67*1.25))</f>
        <v/>
      </c>
      <c r="U67" s="9">
        <f>INT(T67/100)*100 + IF(MOD(ROUND(T67,0),100)&lt;25, 0, IF(MOD(ROUND(T67,0),100)&lt;=74, 49, 99))</f>
        <v/>
      </c>
      <c r="V67" s="8">
        <f>IF(U67&lt;300, 0, MIN(99, IF(U67&lt;500, U67*7%, IF(U67&lt;700, U67*12%, U67*15%))))</f>
        <v/>
      </c>
    </row>
    <row r="68">
      <c r="A68" s="2" t="inlineStr">
        <is>
          <t>RN8-SIL-OR-M</t>
        </is>
      </c>
      <c r="B68" s="3" t="inlineStr">
        <is>
          <t>Magnetic Graphene Cooling Silicone Case for Realme GT Neo 8 – Snowflake Heat Dissipation Airbag Anti-Drop Back Cover</t>
        </is>
      </c>
      <c r="C68" s="3" t="inlineStr">
        <is>
          <t>Suitable for Realme Neo8 Mobile Phone Case, New Creative Graphene Cooling Airbag Anti-Fall Silicone Case Realmeneo8</t>
        </is>
      </c>
      <c r="D68" s="2" t="inlineStr">
        <is>
          <t>Silicone</t>
        </is>
      </c>
      <c r="E68" s="2" t="inlineStr">
        <is>
          <t>Terracotta Orange</t>
        </is>
      </c>
      <c r="F68" s="2" t="inlineStr">
        <is>
          <t>Realme Neo8</t>
        </is>
      </c>
      <c r="G68" s="2" t="inlineStr">
        <is>
          <t>No</t>
        </is>
      </c>
      <c r="H68" s="2" t="inlineStr">
        <is>
          <t>Yes</t>
        </is>
      </c>
      <c r="I68" s="2" t="inlineStr">
        <is>
          <t>Link</t>
        </is>
      </c>
      <c r="J68" s="3" t="inlineStr">
        <is>
          <t>https://moveon.global/BD_en/products/0000000MV152HHVF-suitable-for-realme-neo8-mobile-phone-case-new-creative-graphene-cooling-airbag-anti-fall-silicone-case-realmeneo8/1AD8330600315865</t>
        </is>
      </c>
      <c r="K68" s="3" t="inlineStr">
        <is>
          <t>Realme Neo8/Silicone/sku/RN8-SIL-OR-M.jpg</t>
        </is>
      </c>
      <c r="L68" s="4" t="n">
        <v>363.66</v>
      </c>
      <c r="M68" s="4" t="n">
        <v>10</v>
      </c>
      <c r="N68" s="4" t="n">
        <v>50</v>
      </c>
      <c r="O68" s="4" t="n">
        <v>5</v>
      </c>
      <c r="P68" s="4" t="n">
        <v>11.5</v>
      </c>
      <c r="Q68" s="4" t="n">
        <v>20</v>
      </c>
      <c r="R68" s="4" t="n">
        <v>0</v>
      </c>
      <c r="S68" s="4">
        <f>SUM(L68:R68)</f>
        <v/>
      </c>
      <c r="T68" s="4">
        <f>IF(S68&lt;300, S68*1.4, IF(S68&lt;400, S68*1.33, S68*1.25))</f>
        <v/>
      </c>
      <c r="U68" s="5">
        <f>INT(T68/100)*100 + IF(MOD(ROUND(T68,0),100)&lt;25, 0, IF(MOD(ROUND(T68,0),100)&lt;=74, 49, 99))</f>
        <v/>
      </c>
      <c r="V68" s="4">
        <f>IF(U68&lt;300, 0, MIN(99, IF(U68&lt;500, U68*7%, IF(U68&lt;700, U68*12%, U68*15%))))</f>
        <v/>
      </c>
    </row>
    <row r="69">
      <c r="A69" s="6" t="inlineStr">
        <is>
          <t>RN8-SIL-GN-S-V2</t>
        </is>
      </c>
      <c r="B69" s="7" t="inlineStr">
        <is>
          <t>Luxury Liquid Silicone Shockproof Case for Realme GT Neo 8 – Camera Lens Protection Soft Anti-Drop Back Cover</t>
        </is>
      </c>
      <c r="C69" s="7" t="inlineStr">
        <is>
          <t>Suitable for Realme Neo8 Mobile Phone Case Realmeneo8 New Model Rmx8899 Protective Cover Gt8 Liquid Silicone</t>
        </is>
      </c>
      <c r="D69" s="6" t="inlineStr">
        <is>
          <t>Liquid Silicone</t>
        </is>
      </c>
      <c r="E69" s="6" t="inlineStr">
        <is>
          <t>Mambo Green</t>
        </is>
      </c>
      <c r="F69" s="6" t="inlineStr">
        <is>
          <t>Realme Neo8</t>
        </is>
      </c>
      <c r="G69" s="6" t="inlineStr">
        <is>
          <t>No</t>
        </is>
      </c>
      <c r="H69" s="6" t="inlineStr">
        <is>
          <t>Yes</t>
        </is>
      </c>
      <c r="I69" s="6" t="inlineStr">
        <is>
          <t>Link</t>
        </is>
      </c>
      <c r="J69" s="7" t="inlineStr">
        <is>
          <t>https://moveon.global/BD_en/products/0000000AVTXCRWTL-suitable-for-realme-neo8-mobile-phone-case-realmeneo8-new-model-rmx8899-protective-cover-gt8-liquid-silicone/1AD8321207196552</t>
        </is>
      </c>
      <c r="K69" s="7" t="inlineStr">
        <is>
          <t>Realme Neo8/Liquid Silicone/sku/RN8-SIL-GN-S-V2.jpg</t>
        </is>
      </c>
      <c r="L69" s="8" t="n">
        <v>268.2</v>
      </c>
      <c r="M69" s="8" t="n">
        <v>79.55</v>
      </c>
      <c r="N69" s="8" t="n">
        <v>50</v>
      </c>
      <c r="O69" s="8" t="n">
        <v>5</v>
      </c>
      <c r="P69" s="8" t="n">
        <v>11.5</v>
      </c>
      <c r="Q69" s="8" t="n">
        <v>20</v>
      </c>
      <c r="R69" s="8" t="n">
        <v>0</v>
      </c>
      <c r="S69" s="8">
        <f>SUM(L69:R69)</f>
        <v/>
      </c>
      <c r="T69" s="8">
        <f>IF(S69&lt;300, S69*1.4, IF(S69&lt;400, S69*1.33, S69*1.25))</f>
        <v/>
      </c>
      <c r="U69" s="9">
        <f>INT(T69/100)*100 + IF(MOD(ROUND(T69,0),100)&lt;25, 0, IF(MOD(ROUND(T69,0),100)&lt;=74, 49, 99))</f>
        <v/>
      </c>
      <c r="V69" s="8">
        <f>IF(U69&lt;300, 0, MIN(99, IF(U69&lt;500, U69*7%, IF(U69&lt;700, U69*12%, U69*15%))))</f>
        <v/>
      </c>
    </row>
    <row r="70">
      <c r="A70" s="2" t="inlineStr">
        <is>
          <t>RN8-SIL-YL-S-V2</t>
        </is>
      </c>
      <c r="B70" s="3" t="inlineStr">
        <is>
          <t>Luxury Liquid Silicone Shockproof Case for Realme GT Neo 8 – Camera Lens Protection Soft Anti-Drop Back Cover</t>
        </is>
      </c>
      <c r="C70" s="3" t="inlineStr">
        <is>
          <t>Suitable for Realme Neo8 Mobile Phone Case Realmeneo8 New Model Rmx8899 Protective Cover Gt8 Liquid Silicone</t>
        </is>
      </c>
      <c r="D70" s="2" t="inlineStr">
        <is>
          <t>Liquid Silicone</t>
        </is>
      </c>
      <c r="E70" s="2" t="inlineStr">
        <is>
          <t>Cream Yellow</t>
        </is>
      </c>
      <c r="F70" s="2" t="inlineStr">
        <is>
          <t>Realme Neo8</t>
        </is>
      </c>
      <c r="G70" s="2" t="inlineStr">
        <is>
          <t>No</t>
        </is>
      </c>
      <c r="H70" s="2" t="inlineStr">
        <is>
          <t>Yes</t>
        </is>
      </c>
      <c r="I70" s="2" t="inlineStr">
        <is>
          <t>Link</t>
        </is>
      </c>
      <c r="J70" s="3" t="inlineStr">
        <is>
          <t>https://moveon.global/BD_en/products/0000000AVTXCRWTL-suitable-for-realme-neo8-mobile-phone-case-realmeneo8-new-model-rmx8899-protective-cover-gt8-liquid-silicone/1AD8321207196552</t>
        </is>
      </c>
      <c r="K70" s="3" t="inlineStr">
        <is>
          <t>Realme Neo8/Liquid Silicone/sku/RN8-SIL-YL-S-V2.jpg</t>
        </is>
      </c>
      <c r="L70" s="4" t="n">
        <v>268.2</v>
      </c>
      <c r="M70" s="4" t="n">
        <v>79.55</v>
      </c>
      <c r="N70" s="4" t="n">
        <v>50</v>
      </c>
      <c r="O70" s="4" t="n">
        <v>5</v>
      </c>
      <c r="P70" s="4" t="n">
        <v>11.5</v>
      </c>
      <c r="Q70" s="4" t="n">
        <v>20</v>
      </c>
      <c r="R70" s="4" t="n">
        <v>0</v>
      </c>
      <c r="S70" s="4">
        <f>SUM(L70:R70)</f>
        <v/>
      </c>
      <c r="T70" s="4">
        <f>IF(S70&lt;300, S70*1.4, IF(S70&lt;400, S70*1.33, S70*1.25))</f>
        <v/>
      </c>
      <c r="U70" s="5">
        <f>INT(T70/100)*100 + IF(MOD(ROUND(T70,0),100)&lt;25, 0, IF(MOD(ROUND(T70,0),100)&lt;=74, 49, 99))</f>
        <v/>
      </c>
      <c r="V70" s="4">
        <f>IF(U70&lt;300, 0, MIN(99, IF(U70&lt;500, U70*7%, IF(U70&lt;700, U70*12%, U70*15%))))</f>
        <v/>
      </c>
    </row>
    <row r="71">
      <c r="A71" s="6" t="inlineStr">
        <is>
          <t>RN8-SIL-PR-S-V2</t>
        </is>
      </c>
      <c r="B71" s="7" t="inlineStr">
        <is>
          <t>Luxury Liquid Silicone Shockproof Case for Realme GT Neo 8 – Camera Lens Protection Soft Anti-Drop Back Cover</t>
        </is>
      </c>
      <c r="C71" s="7" t="inlineStr">
        <is>
          <t>Suitable for Realme Neo8 Mobile Phone Case Realmeneo8 New Model Rmx8899 Protective Cover Gt8 Liquid Silicone</t>
        </is>
      </c>
      <c r="D71" s="6" t="inlineStr">
        <is>
          <t>Liquid Silicone</t>
        </is>
      </c>
      <c r="E71" s="6" t="inlineStr">
        <is>
          <t>Purple Bean</t>
        </is>
      </c>
      <c r="F71" s="6" t="inlineStr">
        <is>
          <t>Realme Neo8</t>
        </is>
      </c>
      <c r="G71" s="6" t="inlineStr">
        <is>
          <t>No</t>
        </is>
      </c>
      <c r="H71" s="6" t="inlineStr">
        <is>
          <t>Yes</t>
        </is>
      </c>
      <c r="I71" s="6" t="inlineStr">
        <is>
          <t>Link</t>
        </is>
      </c>
      <c r="J71" s="7" t="inlineStr">
        <is>
          <t>https://moveon.global/BD_en/products/0000000AVTXCRWTL-suitable-for-realme-neo8-mobile-phone-case-realmeneo8-new-model-rmx8899-protective-cover-gt8-liquid-silicone/1AD8321207196552</t>
        </is>
      </c>
      <c r="K71" s="7" t="inlineStr">
        <is>
          <t>Realme Neo8/Liquid Silicone/sku/RN8-SIL-PR-S-V2.jpg</t>
        </is>
      </c>
      <c r="L71" s="8" t="n">
        <v>268.2</v>
      </c>
      <c r="M71" s="8" t="n">
        <v>79.55</v>
      </c>
      <c r="N71" s="8" t="n">
        <v>50</v>
      </c>
      <c r="O71" s="8" t="n">
        <v>5</v>
      </c>
      <c r="P71" s="8" t="n">
        <v>11.5</v>
      </c>
      <c r="Q71" s="8" t="n">
        <v>20</v>
      </c>
      <c r="R71" s="8" t="n">
        <v>0</v>
      </c>
      <c r="S71" s="8">
        <f>SUM(L71:R71)</f>
        <v/>
      </c>
      <c r="T71" s="8">
        <f>IF(S71&lt;300, S71*1.4, IF(S71&lt;400, S71*1.33, S71*1.25))</f>
        <v/>
      </c>
      <c r="U71" s="9">
        <f>INT(T71/100)*100 + IF(MOD(ROUND(T71,0),100)&lt;25, 0, IF(MOD(ROUND(T71,0),100)&lt;=74, 49, 99))</f>
        <v/>
      </c>
      <c r="V71" s="8">
        <f>IF(U71&lt;300, 0, MIN(99, IF(U71&lt;500, U71*7%, IF(U71&lt;700, U71*12%, U71*15%))))</f>
        <v/>
      </c>
    </row>
    <row r="72">
      <c r="A72" s="2" t="inlineStr">
        <is>
          <t>RN8-SIL-PK-S-V2</t>
        </is>
      </c>
      <c r="B72" s="3" t="inlineStr">
        <is>
          <t>Luxury Liquid Silicone Shockproof Case for Realme GT Neo 8 – Camera Lens Protection Soft Anti-Drop Back Cover</t>
        </is>
      </c>
      <c r="C72" s="3" t="inlineStr">
        <is>
          <t>Suitable for Realme Neo8 Mobile Phone Case Realmeneo8 New Model Rmx8899 Protective Cover Gt8 Liquid Silicone</t>
        </is>
      </c>
      <c r="D72" s="2" t="inlineStr">
        <is>
          <t>Liquid Silicone</t>
        </is>
      </c>
      <c r="E72" s="2" t="inlineStr">
        <is>
          <t>Sand Pink</t>
        </is>
      </c>
      <c r="F72" s="2" t="inlineStr">
        <is>
          <t>Realme Neo8</t>
        </is>
      </c>
      <c r="G72" s="2" t="inlineStr">
        <is>
          <t>No</t>
        </is>
      </c>
      <c r="H72" s="2" t="inlineStr">
        <is>
          <t>Yes</t>
        </is>
      </c>
      <c r="I72" s="2" t="inlineStr">
        <is>
          <t>Link</t>
        </is>
      </c>
      <c r="J72" s="3" t="inlineStr">
        <is>
          <t>https://moveon.global/BD_en/products/0000000AVTXCRWTL-suitable-for-realme-neo8-mobile-phone-case-realmeneo8-new-model-rmx8899-protective-cover-gt8-liquid-silicone/1AD8321207196552</t>
        </is>
      </c>
      <c r="K72" s="3" t="inlineStr">
        <is>
          <t>Realme Neo8/Liquid Silicone/sku/RN8-SIL-PK-S-V2.jpg</t>
        </is>
      </c>
      <c r="L72" s="4" t="n">
        <v>268.2</v>
      </c>
      <c r="M72" s="4" t="n">
        <v>79.55</v>
      </c>
      <c r="N72" s="4" t="n">
        <v>50</v>
      </c>
      <c r="O72" s="4" t="n">
        <v>5</v>
      </c>
      <c r="P72" s="4" t="n">
        <v>11.5</v>
      </c>
      <c r="Q72" s="4" t="n">
        <v>20</v>
      </c>
      <c r="R72" s="4" t="n">
        <v>0</v>
      </c>
      <c r="S72" s="4">
        <f>SUM(L72:R72)</f>
        <v/>
      </c>
      <c r="T72" s="4">
        <f>IF(S72&lt;300, S72*1.4, IF(S72&lt;400, S72*1.33, S72*1.25))</f>
        <v/>
      </c>
      <c r="U72" s="5">
        <f>INT(T72/100)*100 + IF(MOD(ROUND(T72,0),100)&lt;25, 0, IF(MOD(ROUND(T72,0),100)&lt;=74, 49, 99))</f>
        <v/>
      </c>
      <c r="V72" s="4">
        <f>IF(U72&lt;300, 0, MIN(99, IF(U72&lt;500, U72*7%, IF(U72&lt;700, U72*12%, U72*15%))))</f>
        <v/>
      </c>
    </row>
    <row r="73">
      <c r="A73" s="6" t="inlineStr">
        <is>
          <t>RN8-SIL-BL-S-V2</t>
        </is>
      </c>
      <c r="B73" s="7" t="inlineStr">
        <is>
          <t>Luxury Liquid Silicone Shockproof Case for Realme GT Neo 8 – Camera Lens Protection Soft Anti-Drop Back Cover</t>
        </is>
      </c>
      <c r="C73" s="7" t="inlineStr">
        <is>
          <t>Suitable for Realme Neo8 Mobile Phone Case Realmeneo8 New Model Rmx8899 Protective Cover Gt8 Liquid Silicone</t>
        </is>
      </c>
      <c r="D73" s="6" t="inlineStr">
        <is>
          <t>Liquid Silicone</t>
        </is>
      </c>
      <c r="E73" s="6" t="inlineStr">
        <is>
          <t>Sky Blue</t>
        </is>
      </c>
      <c r="F73" s="6" t="inlineStr">
        <is>
          <t>Realme Neo8</t>
        </is>
      </c>
      <c r="G73" s="6" t="inlineStr">
        <is>
          <t>No</t>
        </is>
      </c>
      <c r="H73" s="6" t="inlineStr">
        <is>
          <t>Yes</t>
        </is>
      </c>
      <c r="I73" s="6" t="inlineStr">
        <is>
          <t>Link</t>
        </is>
      </c>
      <c r="J73" s="7" t="inlineStr">
        <is>
          <t>https://moveon.global/BD_en/products/0000000AVTXCRWTL-suitable-for-realme-neo8-mobile-phone-case-realmeneo8-new-model-rmx8899-protective-cover-gt8-liquid-silicone/1AD8321207196552</t>
        </is>
      </c>
      <c r="K73" s="7" t="inlineStr">
        <is>
          <t>Realme Neo8/Liquid Silicone/sku/RN8-SIL-BL-S-V2.jpg</t>
        </is>
      </c>
      <c r="L73" s="8" t="n">
        <v>268.2</v>
      </c>
      <c r="M73" s="8" t="n">
        <v>79.55</v>
      </c>
      <c r="N73" s="8" t="n">
        <v>50</v>
      </c>
      <c r="O73" s="8" t="n">
        <v>5</v>
      </c>
      <c r="P73" s="8" t="n">
        <v>11.5</v>
      </c>
      <c r="Q73" s="8" t="n">
        <v>20</v>
      </c>
      <c r="R73" s="8" t="n">
        <v>0</v>
      </c>
      <c r="S73" s="8">
        <f>SUM(L73:R73)</f>
        <v/>
      </c>
      <c r="T73" s="8">
        <f>IF(S73&lt;300, S73*1.4, IF(S73&lt;400, S73*1.33, S73*1.25))</f>
        <v/>
      </c>
      <c r="U73" s="9">
        <f>INT(T73/100)*100 + IF(MOD(ROUND(T73,0),100)&lt;25, 0, IF(MOD(ROUND(T73,0),100)&lt;=74, 49, 99))</f>
        <v/>
      </c>
      <c r="V73" s="8">
        <f>IF(U73&lt;300, 0, MIN(99, IF(U73&lt;500, U73*7%, IF(U73&lt;700, U73*12%, U73*15%))))</f>
        <v/>
      </c>
    </row>
    <row r="74">
      <c r="A74" s="2" t="inlineStr">
        <is>
          <t>RN8-SIL-WT-S-V2</t>
        </is>
      </c>
      <c r="B74" s="3" t="inlineStr">
        <is>
          <t>Luxury Liquid Silicone Shockproof Case for Realme GT Neo 8 – Camera Lens Protection Soft Anti-Drop Back Cover</t>
        </is>
      </c>
      <c r="C74" s="3" t="inlineStr">
        <is>
          <t>Suitable for Realme Neo8 Mobile Phone Case Realmeneo8 New Model Rmx8899 Protective Cover Gt8 Liquid Silicone</t>
        </is>
      </c>
      <c r="D74" s="2" t="inlineStr">
        <is>
          <t>Liquid Silicone</t>
        </is>
      </c>
      <c r="E74" s="2" t="inlineStr">
        <is>
          <t>Antique White</t>
        </is>
      </c>
      <c r="F74" s="2" t="inlineStr">
        <is>
          <t>Realme Neo8</t>
        </is>
      </c>
      <c r="G74" s="2" t="inlineStr">
        <is>
          <t>No</t>
        </is>
      </c>
      <c r="H74" s="2" t="inlineStr">
        <is>
          <t>Yes</t>
        </is>
      </c>
      <c r="I74" s="2" t="inlineStr">
        <is>
          <t>Link</t>
        </is>
      </c>
      <c r="J74" s="3" t="inlineStr">
        <is>
          <t>https://moveon.global/BD_en/products/0000000AVTXCRWTL-suitable-for-realme-neo8-mobile-phone-case-realmeneo8-new-model-rmx8899-protective-cover-gt8-liquid-silicone/1AD8321207196552</t>
        </is>
      </c>
      <c r="K74" s="3" t="inlineStr">
        <is>
          <t>Realme Neo8/Liquid Silicone/sku/RN8-SIL-WT-S-V2.jpg</t>
        </is>
      </c>
      <c r="L74" s="4" t="n">
        <v>268.2</v>
      </c>
      <c r="M74" s="4" t="n">
        <v>79.55</v>
      </c>
      <c r="N74" s="4" t="n">
        <v>50</v>
      </c>
      <c r="O74" s="4" t="n">
        <v>5</v>
      </c>
      <c r="P74" s="4" t="n">
        <v>11.5</v>
      </c>
      <c r="Q74" s="4" t="n">
        <v>20</v>
      </c>
      <c r="R74" s="4" t="n">
        <v>0</v>
      </c>
      <c r="S74" s="4">
        <f>SUM(L74:R74)</f>
        <v/>
      </c>
      <c r="T74" s="4">
        <f>IF(S74&lt;300, S74*1.4, IF(S74&lt;400, S74*1.33, S74*1.25))</f>
        <v/>
      </c>
      <c r="U74" s="5">
        <f>INT(T74/100)*100 + IF(MOD(ROUND(T74,0),100)&lt;25, 0, IF(MOD(ROUND(T74,0),100)&lt;=74, 49, 99))</f>
        <v/>
      </c>
      <c r="V74" s="4">
        <f>IF(U74&lt;300, 0, MIN(99, IF(U74&lt;500, U74*7%, IF(U74&lt;700, U74*12%, U74*15%))))</f>
        <v/>
      </c>
    </row>
    <row r="75">
      <c r="A75" s="6" t="inlineStr">
        <is>
          <t>RN8-SIL-BK-S-V2</t>
        </is>
      </c>
      <c r="B75" s="7" t="inlineStr">
        <is>
          <t>Luxury Liquid Silicone Shockproof Case for Realme GT Neo 8 – Camera Lens Protection Soft Anti-Drop Back Cover</t>
        </is>
      </c>
      <c r="C75" s="7" t="inlineStr">
        <is>
          <t>Suitable for Realme Neo8 Mobile Phone Case Realmeneo8 New Model Rmx8899 Protective Cover Gt8 Liquid Silicone</t>
        </is>
      </c>
      <c r="D75" s="6" t="inlineStr">
        <is>
          <t>Liquid Silicone</t>
        </is>
      </c>
      <c r="E75" s="6" t="inlineStr">
        <is>
          <t>Classic Black</t>
        </is>
      </c>
      <c r="F75" s="6" t="inlineStr">
        <is>
          <t>Realme Neo8</t>
        </is>
      </c>
      <c r="G75" s="6" t="inlineStr">
        <is>
          <t>No</t>
        </is>
      </c>
      <c r="H75" s="6" t="inlineStr">
        <is>
          <t>Yes</t>
        </is>
      </c>
      <c r="I75" s="6" t="inlineStr">
        <is>
          <t>Link</t>
        </is>
      </c>
      <c r="J75" s="7" t="inlineStr">
        <is>
          <t>https://moveon.global/BD_en/products/0000000AVTXCRWTL-suitable-for-realme-neo8-mobile-phone-case-realmeneo8-new-model-rmx8899-protective-cover-gt8-liquid-silicone/1AD8321207196552</t>
        </is>
      </c>
      <c r="K75" s="7" t="inlineStr">
        <is>
          <t>Realme Neo8/Liquid Silicone/sku/RN8-SIL-BK-S-V2.jpg</t>
        </is>
      </c>
      <c r="L75" s="8" t="n">
        <v>268.2</v>
      </c>
      <c r="M75" s="8" t="n">
        <v>79.55</v>
      </c>
      <c r="N75" s="8" t="n">
        <v>50</v>
      </c>
      <c r="O75" s="8" t="n">
        <v>5</v>
      </c>
      <c r="P75" s="8" t="n">
        <v>11.5</v>
      </c>
      <c r="Q75" s="8" t="n">
        <v>20</v>
      </c>
      <c r="R75" s="8" t="n">
        <v>0</v>
      </c>
      <c r="S75" s="8">
        <f>SUM(L75:R75)</f>
        <v/>
      </c>
      <c r="T75" s="8">
        <f>IF(S75&lt;300, S75*1.4, IF(S75&lt;400, S75*1.33, S75*1.25))</f>
        <v/>
      </c>
      <c r="U75" s="9">
        <f>INT(T75/100)*100 + IF(MOD(ROUND(T75,0),100)&lt;25, 0, IF(MOD(ROUND(T75,0),100)&lt;=74, 49, 99))</f>
        <v/>
      </c>
      <c r="V75" s="8">
        <f>IF(U75&lt;300, 0, MIN(99, IF(U75&lt;500, U75*7%, IF(U75&lt;700, U75*12%, U75*15%))))</f>
        <v/>
      </c>
    </row>
    <row r="76">
      <c r="A76" s="2" t="inlineStr">
        <is>
          <t>RN8-SIL-GY-S-V2</t>
        </is>
      </c>
      <c r="B76" s="3" t="inlineStr">
        <is>
          <t>Luxury Liquid Silicone Shockproof Case for Realme GT Neo 8 – Camera Lens Protection Soft Anti-Drop Back Cover</t>
        </is>
      </c>
      <c r="C76" s="3" t="inlineStr">
        <is>
          <t>Suitable for Realme Neo8 Mobile Phone Case Realmeneo8 New Model Rmx8899 Protective Cover Gt8 Liquid Silicone</t>
        </is>
      </c>
      <c r="D76" s="2" t="inlineStr">
        <is>
          <t>Liquid Silicone</t>
        </is>
      </c>
      <c r="E76" s="2" t="inlineStr">
        <is>
          <t>Charcoal Gray</t>
        </is>
      </c>
      <c r="F76" s="2" t="inlineStr">
        <is>
          <t>Realme Neo8</t>
        </is>
      </c>
      <c r="G76" s="2" t="inlineStr">
        <is>
          <t>No</t>
        </is>
      </c>
      <c r="H76" s="2" t="inlineStr">
        <is>
          <t>Yes</t>
        </is>
      </c>
      <c r="I76" s="2" t="inlineStr">
        <is>
          <t>Link</t>
        </is>
      </c>
      <c r="J76" s="3" t="inlineStr">
        <is>
          <t>https://moveon.global/BD_en/products/0000000AVTXCRWTL-suitable-for-realme-neo8-mobile-phone-case-realmeneo8-new-model-rmx8899-protective-cover-gt8-liquid-silicone/1AD8321207196552</t>
        </is>
      </c>
      <c r="K76" s="3" t="inlineStr">
        <is>
          <t>Realme Neo8/Liquid Silicone/sku/RN8-SIL-GY-S-V2.jpg</t>
        </is>
      </c>
      <c r="L76" s="4" t="n">
        <v>268.2</v>
      </c>
      <c r="M76" s="4" t="n">
        <v>79.55</v>
      </c>
      <c r="N76" s="4" t="n">
        <v>50</v>
      </c>
      <c r="O76" s="4" t="n">
        <v>5</v>
      </c>
      <c r="P76" s="4" t="n">
        <v>11.5</v>
      </c>
      <c r="Q76" s="4" t="n">
        <v>20</v>
      </c>
      <c r="R76" s="4" t="n">
        <v>0</v>
      </c>
      <c r="S76" s="4">
        <f>SUM(L76:R76)</f>
        <v/>
      </c>
      <c r="T76" s="4">
        <f>IF(S76&lt;300, S76*1.4, IF(S76&lt;400, S76*1.33, S76*1.25))</f>
        <v/>
      </c>
      <c r="U76" s="5">
        <f>INT(T76/100)*100 + IF(MOD(ROUND(T76,0),100)&lt;25, 0, IF(MOD(ROUND(T76,0),100)&lt;=74, 49, 99))</f>
        <v/>
      </c>
      <c r="V76" s="4">
        <f>IF(U76&lt;300, 0, MIN(99, IF(U76&lt;500, U76*7%, IF(U76&lt;700, U76*12%, U76*15%))))</f>
        <v/>
      </c>
    </row>
    <row r="77">
      <c r="A77" s="6" t="inlineStr">
        <is>
          <t>RN8-SIL-WT-S-V3</t>
        </is>
      </c>
      <c r="B77" s="7" t="inlineStr">
        <is>
          <t>Luxury Liquid Silicone Shockproof Case for Realme GT Neo 8 – Camera Lens Protection Soft Anti-Drop Back Cover</t>
        </is>
      </c>
      <c r="C77" s="7" t="inlineStr">
        <is>
          <t>Suitable for Realme Neo8 Mobile Phone Case Realmeneo8 New Model Rmx8899 Protective Cover Gt8 Liquid Silicone</t>
        </is>
      </c>
      <c r="D77" s="6" t="inlineStr">
        <is>
          <t>Liquid Silicone</t>
        </is>
      </c>
      <c r="E77" s="6" t="inlineStr">
        <is>
          <t>Pure White</t>
        </is>
      </c>
      <c r="F77" s="6" t="inlineStr">
        <is>
          <t>Realme Neo8</t>
        </is>
      </c>
      <c r="G77" s="6" t="inlineStr">
        <is>
          <t>No</t>
        </is>
      </c>
      <c r="H77" s="6" t="inlineStr">
        <is>
          <t>Yes</t>
        </is>
      </c>
      <c r="I77" s="6" t="inlineStr">
        <is>
          <t>Link</t>
        </is>
      </c>
      <c r="J77" s="7" t="inlineStr">
        <is>
          <t>https://moveon.global/BD_en/products/0000000AVTXCRWTL-suitable-for-realme-neo8-mobile-phone-case-realmeneo8-new-model-rmx8899-protective-cover-gt8-liquid-silicone/1AD8321207196552</t>
        </is>
      </c>
      <c r="K77" s="7" t="inlineStr">
        <is>
          <t>Realme Neo8/Liquid Silicone/sku/RN8-SIL-WT-S-V3.jpg</t>
        </is>
      </c>
      <c r="L77" s="8" t="n">
        <v>268.2</v>
      </c>
      <c r="M77" s="8" t="n">
        <v>79.55</v>
      </c>
      <c r="N77" s="8" t="n">
        <v>50</v>
      </c>
      <c r="O77" s="8" t="n">
        <v>5</v>
      </c>
      <c r="P77" s="8" t="n">
        <v>11.5</v>
      </c>
      <c r="Q77" s="8" t="n">
        <v>20</v>
      </c>
      <c r="R77" s="8" t="n">
        <v>0</v>
      </c>
      <c r="S77" s="8">
        <f>SUM(L77:R77)</f>
        <v/>
      </c>
      <c r="T77" s="8">
        <f>IF(S77&lt;300, S77*1.4, IF(S77&lt;400, S77*1.33, S77*1.25))</f>
        <v/>
      </c>
      <c r="U77" s="9">
        <f>INT(T77/100)*100 + IF(MOD(ROUND(T77,0),100)&lt;25, 0, IF(MOD(ROUND(T77,0),100)&lt;=74, 49, 99))</f>
        <v/>
      </c>
      <c r="V77" s="8">
        <f>IF(U77&lt;300, 0, MIN(99, IF(U77&lt;500, U77*7%, IF(U77&lt;700, U77*12%, U77*15%))))</f>
        <v/>
      </c>
    </row>
    <row r="78">
      <c r="A78" s="2" t="inlineStr">
        <is>
          <t>RN8-PC-BK-S</t>
        </is>
      </c>
      <c r="B78" s="3" t="inlineStr">
        <is>
          <t>Corrugated Metallic Paint Hard Case with Metal Buttons for Realme GT Neo 8 – Luxury Shockproof Anti-Drop Protective Back Cover</t>
        </is>
      </c>
      <c r="C78" s="3" t="inlineStr">
        <is>
          <t>Suitable for Oppo Find X9 Ultra corrugated metal paint phone case, Reno 16 metal button case, Realme GT8 hard case</t>
        </is>
      </c>
      <c r="D78" s="2" t="inlineStr">
        <is>
          <t>Hard PC</t>
        </is>
      </c>
      <c r="E78" s="2" t="inlineStr">
        <is>
          <t>Black</t>
        </is>
      </c>
      <c r="F78" s="2" t="inlineStr">
        <is>
          <t>Realme Neo8</t>
        </is>
      </c>
      <c r="G78" s="2" t="inlineStr">
        <is>
          <t>No</t>
        </is>
      </c>
      <c r="H78" s="2" t="inlineStr">
        <is>
          <t>Yes</t>
        </is>
      </c>
      <c r="I78" s="2" t="inlineStr">
        <is>
          <t>Link</t>
        </is>
      </c>
      <c r="J78" s="3" t="inlineStr">
        <is>
          <t>https://moveon.global/BD_en/products/0000000E102ORKG6-suitable-for-oppo-find-x9-ultra-corrugated-metal-paint-phone-case-reno-16-metal-button-case-realme-gt8-hard-case/1AD8372161823684</t>
        </is>
      </c>
      <c r="K78" s="3" t="inlineStr">
        <is>
          <t>Realme Neo8/Hard PC/sku/RN8-PC-BK-S.jpg</t>
        </is>
      </c>
      <c r="L78" s="4" t="n">
        <v>147.74</v>
      </c>
      <c r="M78" s="4" t="n">
        <v>50</v>
      </c>
      <c r="N78" s="4" t="n">
        <v>62.4</v>
      </c>
      <c r="O78" s="4" t="n">
        <v>5</v>
      </c>
      <c r="P78" s="4" t="n">
        <v>11.5</v>
      </c>
      <c r="Q78" s="4" t="n">
        <v>20</v>
      </c>
      <c r="R78" s="4" t="n">
        <v>0</v>
      </c>
      <c r="S78" s="4">
        <f>SUM(L78:R78)</f>
        <v/>
      </c>
      <c r="T78" s="4">
        <f>IF(S78&lt;300, S78*1.4, IF(S78&lt;400, S78*1.33, S78*1.25))</f>
        <v/>
      </c>
      <c r="U78" s="5">
        <f>INT(T78/100)*100 + IF(MOD(ROUND(T78,0),100)&lt;25, 0, IF(MOD(ROUND(T78,0),100)&lt;=74, 49, 99))</f>
        <v/>
      </c>
      <c r="V78" s="4">
        <f>IF(U78&lt;300, 0, MIN(99, IF(U78&lt;500, U78*7%, IF(U78&lt;700, U78*12%, U78*15%))))</f>
        <v/>
      </c>
    </row>
    <row r="79">
      <c r="A79" s="6" t="inlineStr">
        <is>
          <t>RN8-PC-SV-S</t>
        </is>
      </c>
      <c r="B79" s="7" t="inlineStr">
        <is>
          <t>Corrugated Metallic Paint Hard Case with Metal Buttons for Realme GT Neo 8 – Luxury Shockproof Anti-Drop Protective Back Cover</t>
        </is>
      </c>
      <c r="C79" s="7" t="inlineStr">
        <is>
          <t>Suitable for Oppo Find X9 Ultra corrugated metal paint phone case, Reno 16 metal button case, Realme GT8 hard case</t>
        </is>
      </c>
      <c r="D79" s="6" t="inlineStr">
        <is>
          <t>Hard PC</t>
        </is>
      </c>
      <c r="E79" s="6" t="inlineStr">
        <is>
          <t>Silver</t>
        </is>
      </c>
      <c r="F79" s="6" t="inlineStr">
        <is>
          <t>Realme Neo8</t>
        </is>
      </c>
      <c r="G79" s="6" t="inlineStr">
        <is>
          <t>No</t>
        </is>
      </c>
      <c r="H79" s="6" t="inlineStr">
        <is>
          <t>Yes</t>
        </is>
      </c>
      <c r="I79" s="6" t="inlineStr">
        <is>
          <t>Link</t>
        </is>
      </c>
      <c r="J79" s="7" t="inlineStr">
        <is>
          <t>https://moveon.global/BD_en/products/0000000E102ORKG6-suitable-for-oppo-find-x9-ultra-corrugated-metal-paint-phone-case-reno-16-metal-button-case-realme-gt8-hard-case/1AD8372161823684</t>
        </is>
      </c>
      <c r="K79" s="7" t="inlineStr">
        <is>
          <t>Realme Neo8/Hard PC/sku/RN8-PC-SV-S.jpg</t>
        </is>
      </c>
      <c r="L79" s="8" t="n">
        <v>147.74</v>
      </c>
      <c r="M79" s="8" t="n">
        <v>50</v>
      </c>
      <c r="N79" s="8" t="n">
        <v>62.4</v>
      </c>
      <c r="O79" s="8" t="n">
        <v>5</v>
      </c>
      <c r="P79" s="8" t="n">
        <v>11.5</v>
      </c>
      <c r="Q79" s="8" t="n">
        <v>20</v>
      </c>
      <c r="R79" s="8" t="n">
        <v>0</v>
      </c>
      <c r="S79" s="8">
        <f>SUM(L79:R79)</f>
        <v/>
      </c>
      <c r="T79" s="8">
        <f>IF(S79&lt;300, S79*1.4, IF(S79&lt;400, S79*1.33, S79*1.25))</f>
        <v/>
      </c>
      <c r="U79" s="9">
        <f>INT(T79/100)*100 + IF(MOD(ROUND(T79,0),100)&lt;25, 0, IF(MOD(ROUND(T79,0),100)&lt;=74, 49, 99))</f>
        <v/>
      </c>
      <c r="V79" s="8">
        <f>IF(U79&lt;300, 0, MIN(99, IF(U79&lt;500, U79*7%, IF(U79&lt;700, U79*12%, U79*15%))))</f>
        <v/>
      </c>
    </row>
    <row r="80">
      <c r="A80" s="2" t="inlineStr">
        <is>
          <t>RN8-PC-CL-C</t>
        </is>
      </c>
      <c r="B80" s="3" t="inlineStr">
        <is>
          <t>Corrugated Metallic Paint Hard Case with Metal Buttons for Realme GT Neo 8 – Luxury Shockproof Anti-Drop Protective Back Cover</t>
        </is>
      </c>
      <c r="C80" s="3" t="inlineStr">
        <is>
          <t>Suitable for Oppo Find X9 Ultra corrugated metal paint phone case, Reno 16 metal button case, Realme GT8 hard case</t>
        </is>
      </c>
      <c r="D80" s="2" t="inlineStr">
        <is>
          <t>Hard PC</t>
        </is>
      </c>
      <c r="E80" s="2" t="inlineStr">
        <is>
          <t>Transparent</t>
        </is>
      </c>
      <c r="F80" s="2" t="inlineStr">
        <is>
          <t>Realme Neo8</t>
        </is>
      </c>
      <c r="G80" s="2" t="inlineStr">
        <is>
          <t>No</t>
        </is>
      </c>
      <c r="H80" s="2" t="inlineStr">
        <is>
          <t>Yes</t>
        </is>
      </c>
      <c r="I80" s="2" t="inlineStr">
        <is>
          <t>Link</t>
        </is>
      </c>
      <c r="J80" s="3" t="inlineStr">
        <is>
          <t>https://moveon.global/BD_en/products/0000000E102ORKG6-suitable-for-oppo-find-x9-ultra-corrugated-metal-paint-phone-case-reno-16-metal-button-case-realme-gt8-hard-case/1AD8372161823684</t>
        </is>
      </c>
      <c r="K80" s="3" t="inlineStr">
        <is>
          <t>Realme Neo8/Hard PC/sku/RN8-PC-CL-C.jpg</t>
        </is>
      </c>
      <c r="L80" s="4" t="n">
        <v>113.64</v>
      </c>
      <c r="M80" s="4" t="n">
        <v>50</v>
      </c>
      <c r="N80" s="4" t="n">
        <v>62.4</v>
      </c>
      <c r="O80" s="4" t="n">
        <v>5</v>
      </c>
      <c r="P80" s="4" t="n">
        <v>11.5</v>
      </c>
      <c r="Q80" s="4" t="n">
        <v>20</v>
      </c>
      <c r="R80" s="4" t="n">
        <v>0</v>
      </c>
      <c r="S80" s="4">
        <f>SUM(L80:R80)</f>
        <v/>
      </c>
      <c r="T80" s="4">
        <f>IF(S80&lt;300, S80*1.4, IF(S80&lt;400, S80*1.33, S80*1.25))</f>
        <v/>
      </c>
      <c r="U80" s="5">
        <f>INT(T80/100)*100 + IF(MOD(ROUND(T80,0),100)&lt;25, 0, IF(MOD(ROUND(T80,0),100)&lt;=74, 49, 99))</f>
        <v/>
      </c>
      <c r="V80" s="4">
        <f>IF(U80&lt;300, 0, MIN(99, IF(U80&lt;500, U80*7%, IF(U80&lt;700, U80*12%, U80*15%))))</f>
        <v/>
      </c>
    </row>
    <row r="81">
      <c r="A81" s="6" t="inlineStr">
        <is>
          <t>RN8-PC-RD-S</t>
        </is>
      </c>
      <c r="B81" s="7" t="inlineStr">
        <is>
          <t>Corrugated Metallic Paint Hard Case with Metal Buttons for Realme GT Neo 8 – Luxury Shockproof Anti-Drop Protective Back Cover</t>
        </is>
      </c>
      <c r="C81" s="7" t="inlineStr">
        <is>
          <t>Suitable for Oppo Find X9 Ultra corrugated metal paint phone case, Reno 16 metal button case, Realme GT8 hard case</t>
        </is>
      </c>
      <c r="D81" s="6" t="inlineStr">
        <is>
          <t>Hard PC</t>
        </is>
      </c>
      <c r="E81" s="6" t="inlineStr">
        <is>
          <t>Burgundy Red</t>
        </is>
      </c>
      <c r="F81" s="6" t="inlineStr">
        <is>
          <t>Realme Neo8</t>
        </is>
      </c>
      <c r="G81" s="6" t="inlineStr">
        <is>
          <t>No</t>
        </is>
      </c>
      <c r="H81" s="6" t="inlineStr">
        <is>
          <t>Yes</t>
        </is>
      </c>
      <c r="I81" s="6" t="inlineStr">
        <is>
          <t>Link</t>
        </is>
      </c>
      <c r="J81" s="7" t="inlineStr">
        <is>
          <t>https://moveon.global/BD_en/products/0000000E102ORKG6-suitable-for-oppo-find-x9-ultra-corrugated-metal-paint-phone-case-reno-16-metal-button-case-realme-gt8-hard-case/1AD8372161823684</t>
        </is>
      </c>
      <c r="K81" s="7" t="inlineStr">
        <is>
          <t>Realme Neo8/Hard PC/sku/RN8-PC-RD-S.jpg</t>
        </is>
      </c>
      <c r="L81" s="8" t="n">
        <v>147.74</v>
      </c>
      <c r="M81" s="8" t="n">
        <v>50</v>
      </c>
      <c r="N81" s="8" t="n">
        <v>62.4</v>
      </c>
      <c r="O81" s="8" t="n">
        <v>5</v>
      </c>
      <c r="P81" s="8" t="n">
        <v>11.5</v>
      </c>
      <c r="Q81" s="8" t="n">
        <v>20</v>
      </c>
      <c r="R81" s="8" t="n">
        <v>0</v>
      </c>
      <c r="S81" s="8">
        <f>SUM(L81:R81)</f>
        <v/>
      </c>
      <c r="T81" s="8">
        <f>IF(S81&lt;300, S81*1.4, IF(S81&lt;400, S81*1.33, S81*1.25))</f>
        <v/>
      </c>
      <c r="U81" s="9">
        <f>INT(T81/100)*100 + IF(MOD(ROUND(T81,0),100)&lt;25, 0, IF(MOD(ROUND(T81,0),100)&lt;=74, 49, 99))</f>
        <v/>
      </c>
      <c r="V81" s="8">
        <f>IF(U81&lt;300, 0, MIN(99, IF(U81&lt;500, U81*7%, IF(U81&lt;700, U81*12%, U81*15%))))</f>
        <v/>
      </c>
    </row>
    <row r="82">
      <c r="A82" s="2" t="inlineStr">
        <is>
          <t>RN8-PC-TB-S</t>
        </is>
      </c>
      <c r="B82" s="3" t="inlineStr">
        <is>
          <t>Corrugated Metallic Paint Hard Case with Metal Buttons for Realme GT Neo 8 – Luxury Shockproof Anti-Drop Protective Back Cover</t>
        </is>
      </c>
      <c r="C82" s="3" t="inlineStr">
        <is>
          <t>Suitable for Oppo Find X9 Ultra corrugated metal paint phone case, Reno 16 metal button case, Realme GT8 hard case</t>
        </is>
      </c>
      <c r="D82" s="2" t="inlineStr">
        <is>
          <t>Hard PC</t>
        </is>
      </c>
      <c r="E82" s="2" t="inlineStr">
        <is>
          <t>Titanium Black</t>
        </is>
      </c>
      <c r="F82" s="2" t="inlineStr">
        <is>
          <t>Realme Neo8</t>
        </is>
      </c>
      <c r="G82" s="2" t="inlineStr">
        <is>
          <t>No</t>
        </is>
      </c>
      <c r="H82" s="2" t="inlineStr">
        <is>
          <t>Yes</t>
        </is>
      </c>
      <c r="I82" s="2" t="inlineStr">
        <is>
          <t>Link</t>
        </is>
      </c>
      <c r="J82" s="3" t="inlineStr">
        <is>
          <t>https://moveon.global/BD_en/products/0000000E102ORKG6-suitable-for-oppo-find-x9-ultra-corrugated-metal-paint-phone-case-reno-16-metal-button-case-realme-gt8-hard-case/1AD8372161823684</t>
        </is>
      </c>
      <c r="K82" s="3" t="inlineStr">
        <is>
          <t>Realme Neo8/Hard PC/sku/RN8-PC-TB-S.jpg</t>
        </is>
      </c>
      <c r="L82" s="4" t="n">
        <v>147.74</v>
      </c>
      <c r="M82" s="4" t="n">
        <v>50</v>
      </c>
      <c r="N82" s="4" t="n">
        <v>62.4</v>
      </c>
      <c r="O82" s="4" t="n">
        <v>5</v>
      </c>
      <c r="P82" s="4" t="n">
        <v>11.5</v>
      </c>
      <c r="Q82" s="4" t="n">
        <v>20</v>
      </c>
      <c r="R82" s="4" t="n">
        <v>0</v>
      </c>
      <c r="S82" s="4">
        <f>SUM(L82:R82)</f>
        <v/>
      </c>
      <c r="T82" s="4">
        <f>IF(S82&lt;300, S82*1.4, IF(S82&lt;400, S82*1.33, S82*1.25))</f>
        <v/>
      </c>
      <c r="U82" s="5">
        <f>INT(T82/100)*100 + IF(MOD(ROUND(T82,0),100)&lt;25, 0, IF(MOD(ROUND(T82,0),100)&lt;=74, 49, 99))</f>
        <v/>
      </c>
      <c r="V82" s="4">
        <f>IF(U82&lt;300, 0, MIN(99, IF(U82&lt;500, U82*7%, IF(U82&lt;700, U82*12%, U82*15%))))</f>
        <v/>
      </c>
    </row>
    <row r="83">
      <c r="A83" s="6" t="inlineStr">
        <is>
          <t>RN8-PC-GD-S</t>
        </is>
      </c>
      <c r="B83" s="7" t="inlineStr">
        <is>
          <t>Corrugated Metallic Paint Hard Case with Metal Buttons for Realme GT Neo 8 – Luxury Shockproof Anti-Drop Protective Back Cover</t>
        </is>
      </c>
      <c r="C83" s="7" t="inlineStr">
        <is>
          <t>Suitable for Oppo Find X9 Ultra corrugated metal paint phone case, Reno 16 metal button case, Realme GT8 hard case</t>
        </is>
      </c>
      <c r="D83" s="6" t="inlineStr">
        <is>
          <t>Hard PC</t>
        </is>
      </c>
      <c r="E83" s="6" t="inlineStr">
        <is>
          <t>Golden</t>
        </is>
      </c>
      <c r="F83" s="6" t="inlineStr">
        <is>
          <t>Realme Neo8</t>
        </is>
      </c>
      <c r="G83" s="6" t="inlineStr">
        <is>
          <t>No</t>
        </is>
      </c>
      <c r="H83" s="6" t="inlineStr">
        <is>
          <t>Yes</t>
        </is>
      </c>
      <c r="I83" s="6" t="inlineStr">
        <is>
          <t>Link</t>
        </is>
      </c>
      <c r="J83" s="7" t="inlineStr">
        <is>
          <t>https://moveon.global/BD_en/products/0000000E102ORKG6-suitable-for-oppo-find-x9-ultra-corrugated-metal-paint-phone-case-reno-16-metal-button-case-realme-gt8-hard-case/1AD8372161823684</t>
        </is>
      </c>
      <c r="K83" s="7" t="inlineStr">
        <is>
          <t>Realme Neo8/Hard PC/sku/RN8-PC-GD-S.jpg</t>
        </is>
      </c>
      <c r="L83" s="8" t="n">
        <v>147.74</v>
      </c>
      <c r="M83" s="8" t="n">
        <v>50</v>
      </c>
      <c r="N83" s="8" t="n">
        <v>62.4</v>
      </c>
      <c r="O83" s="8" t="n">
        <v>5</v>
      </c>
      <c r="P83" s="8" t="n">
        <v>11.5</v>
      </c>
      <c r="Q83" s="8" t="n">
        <v>20</v>
      </c>
      <c r="R83" s="8" t="n">
        <v>0</v>
      </c>
      <c r="S83" s="8">
        <f>SUM(L83:R83)</f>
        <v/>
      </c>
      <c r="T83" s="8">
        <f>IF(S83&lt;300, S83*1.4, IF(S83&lt;400, S83*1.33, S83*1.25))</f>
        <v/>
      </c>
      <c r="U83" s="9">
        <f>INT(T83/100)*100 + IF(MOD(ROUND(T83,0),100)&lt;25, 0, IF(MOD(ROUND(T83,0),100)&lt;=74, 49, 99))</f>
        <v/>
      </c>
      <c r="V83" s="8">
        <f>IF(U83&lt;300, 0, MIN(99, IF(U83&lt;500, U83*7%, IF(U83&lt;700, U83*12%, U83*15%))))</f>
        <v/>
      </c>
    </row>
    <row r="84">
      <c r="A84" s="2" t="inlineStr">
        <is>
          <t>RN8-GLS-YL-S</t>
        </is>
      </c>
      <c r="B84" s="3" t="inlineStr">
        <is>
          <t>Luxury Tempered Glass Shockproof Protective Back Cover for Realme Neo8 – Ultra-Slim Anti-Drop Case</t>
        </is>
      </c>
      <c r="C84" s="3" t="inlineStr">
        <is>
          <t>Transformers-Themed Glass Case for Realme Neo8, New Stylish and High-End Protective Cover, Ultra-Thin and Shockproof</t>
        </is>
      </c>
      <c r="D84" s="2" t="inlineStr">
        <is>
          <t>Tempered Glass</t>
        </is>
      </c>
      <c r="E84" s="2" t="inlineStr">
        <is>
          <t>A6077 Collection Yellow</t>
        </is>
      </c>
      <c r="F84" s="2" t="inlineStr">
        <is>
          <t>Realme Neo8</t>
        </is>
      </c>
      <c r="G84" s="2" t="inlineStr">
        <is>
          <t>No</t>
        </is>
      </c>
      <c r="H84" s="2" t="inlineStr">
        <is>
          <t>Yes</t>
        </is>
      </c>
      <c r="I84" s="2" t="inlineStr">
        <is>
          <t>Link</t>
        </is>
      </c>
      <c r="J84" s="3" t="inlineStr">
        <is>
          <t>https://moveon.global/BD_en/products/0000000YB9IRZNPB-transformers-themed-glass-case-for-realme-neo8-new-stylish-and-high-end-protective-cover-ultra-thin-and-shockproof/1AD8329701440673</t>
        </is>
      </c>
      <c r="K84" s="3" t="inlineStr">
        <is>
          <t>Realme Neo8/Tempered Glass/sku/RN8-GLS-YL-S.jpg</t>
        </is>
      </c>
      <c r="L84" s="4" t="n">
        <v>156.83</v>
      </c>
      <c r="M84" s="4" t="n">
        <v>45</v>
      </c>
      <c r="N84" s="4" t="n">
        <v>468</v>
      </c>
      <c r="O84" s="4" t="n">
        <v>5</v>
      </c>
      <c r="P84" s="4" t="n">
        <v>11.5</v>
      </c>
      <c r="Q84" s="4" t="n">
        <v>20</v>
      </c>
      <c r="R84" s="4" t="n">
        <v>0</v>
      </c>
      <c r="S84" s="4">
        <f>SUM(L84:R84)</f>
        <v/>
      </c>
      <c r="T84" s="4">
        <f>IF(S84&lt;300, S84*1.4, IF(S84&lt;400, S84*1.33, S84*1.25))</f>
        <v/>
      </c>
      <c r="U84" s="5">
        <f>INT(T84/100)*100 + IF(MOD(ROUND(T84,0),100)&lt;25, 0, IF(MOD(ROUND(T84,0),100)&lt;=74, 49, 99))</f>
        <v/>
      </c>
      <c r="V84" s="4">
        <f>IF(U84&lt;300, 0, MIN(99, IF(U84&lt;500, U84*7%, IF(U84&lt;700, U84*12%, U84*15%))))</f>
        <v/>
      </c>
    </row>
    <row r="85">
      <c r="A85" s="6" t="inlineStr">
        <is>
          <t>RN8-GLS-BL-S</t>
        </is>
      </c>
      <c r="B85" s="7" t="inlineStr">
        <is>
          <t>Luxury Tempered Glass Shockproof Protective Back Cover for Realme Neo8 – Ultra-Slim Anti-Drop Case</t>
        </is>
      </c>
      <c r="C85" s="7" t="inlineStr">
        <is>
          <t>Transformers-Themed Glass Case for Realme Neo8, New Stylish and High-End Protective Cover, Ultra-Thin and Shockproof</t>
        </is>
      </c>
      <c r="D85" s="6" t="inlineStr">
        <is>
          <t>Tempered Glass</t>
        </is>
      </c>
      <c r="E85" s="6" t="inlineStr">
        <is>
          <t>A6078 Yuanzu Blue</t>
        </is>
      </c>
      <c r="F85" s="6" t="inlineStr">
        <is>
          <t>Realme Neo8</t>
        </is>
      </c>
      <c r="G85" s="6" t="inlineStr">
        <is>
          <t>No</t>
        </is>
      </c>
      <c r="H85" s="6" t="inlineStr">
        <is>
          <t>Yes</t>
        </is>
      </c>
      <c r="I85" s="6" t="inlineStr">
        <is>
          <t>Link</t>
        </is>
      </c>
      <c r="J85" s="7" t="inlineStr">
        <is>
          <t>https://moveon.global/BD_en/products/0000000YB9IRZNPB-transformers-themed-glass-case-for-realme-neo8-new-stylish-and-high-end-protective-cover-ultra-thin-and-shockproof/1AD8329701440673</t>
        </is>
      </c>
      <c r="K85" s="7" t="inlineStr">
        <is>
          <t>Realme Neo8/Tempered Glass/sku/RN8-GLS-BL-S.jpg</t>
        </is>
      </c>
      <c r="L85" s="8" t="n">
        <v>156.83</v>
      </c>
      <c r="M85" s="8" t="n">
        <v>45</v>
      </c>
      <c r="N85" s="8" t="n">
        <v>468</v>
      </c>
      <c r="O85" s="8" t="n">
        <v>5</v>
      </c>
      <c r="P85" s="8" t="n">
        <v>11.5</v>
      </c>
      <c r="Q85" s="8" t="n">
        <v>20</v>
      </c>
      <c r="R85" s="8" t="n">
        <v>0</v>
      </c>
      <c r="S85" s="8">
        <f>SUM(L85:R85)</f>
        <v/>
      </c>
      <c r="T85" s="8">
        <f>IF(S85&lt;300, S85*1.4, IF(S85&lt;400, S85*1.33, S85*1.25))</f>
        <v/>
      </c>
      <c r="U85" s="9">
        <f>INT(T85/100)*100 + IF(MOD(ROUND(T85,0),100)&lt;25, 0, IF(MOD(ROUND(T85,0),100)&lt;=74, 49, 99))</f>
        <v/>
      </c>
      <c r="V85" s="8">
        <f>IF(U85&lt;300, 0, MIN(99, IF(U85&lt;500, U85*7%, IF(U85&lt;700, U85*12%, U85*15%))))</f>
        <v/>
      </c>
    </row>
    <row r="86">
      <c r="A86" s="2" t="inlineStr">
        <is>
          <t>RN8-GLS-GN-S</t>
        </is>
      </c>
      <c r="B86" s="3" t="inlineStr">
        <is>
          <t>Luxury Tempered Glass Shockproof Protective Back Cover for Realme Neo8 – Ultra-Slim Anti-Drop Case</t>
        </is>
      </c>
      <c r="C86" s="3" t="inlineStr">
        <is>
          <t>Transformers-Themed Glass Case for Realme Neo8, New Stylish and High-End Protective Cover, Ultra-Thin and Shockproof</t>
        </is>
      </c>
      <c r="D86" s="2" t="inlineStr">
        <is>
          <t>Tempered Glass</t>
        </is>
      </c>
      <c r="E86" s="2" t="inlineStr">
        <is>
          <t>A6079 Passion Green</t>
        </is>
      </c>
      <c r="F86" s="2" t="inlineStr">
        <is>
          <t>Realme Neo8</t>
        </is>
      </c>
      <c r="G86" s="2" t="inlineStr">
        <is>
          <t>No</t>
        </is>
      </c>
      <c r="H86" s="2" t="inlineStr">
        <is>
          <t>Yes</t>
        </is>
      </c>
      <c r="I86" s="2" t="inlineStr">
        <is>
          <t>Link</t>
        </is>
      </c>
      <c r="J86" s="3" t="inlineStr">
        <is>
          <t>https://moveon.global/BD_en/products/0000000YB9IRZNPB-transformers-themed-glass-case-for-realme-neo8-new-stylish-and-high-end-protective-cover-ultra-thin-and-shockproof/1AD8329701440673</t>
        </is>
      </c>
      <c r="K86" s="3" t="inlineStr">
        <is>
          <t>Realme Neo8/Tempered Glass/sku/RN8-GLS-GN-S.jpg</t>
        </is>
      </c>
      <c r="L86" s="4" t="n">
        <v>156.83</v>
      </c>
      <c r="M86" s="4" t="n">
        <v>45</v>
      </c>
      <c r="N86" s="4" t="n">
        <v>468</v>
      </c>
      <c r="O86" s="4" t="n">
        <v>5</v>
      </c>
      <c r="P86" s="4" t="n">
        <v>11.5</v>
      </c>
      <c r="Q86" s="4" t="n">
        <v>20</v>
      </c>
      <c r="R86" s="4" t="n">
        <v>0</v>
      </c>
      <c r="S86" s="4">
        <f>SUM(L86:R86)</f>
        <v/>
      </c>
      <c r="T86" s="4">
        <f>IF(S86&lt;300, S86*1.4, IF(S86&lt;400, S86*1.33, S86*1.25))</f>
        <v/>
      </c>
      <c r="U86" s="5">
        <f>INT(T86/100)*100 + IF(MOD(ROUND(T86,0),100)&lt;25, 0, IF(MOD(ROUND(T86,0),100)&lt;=74, 49, 99))</f>
        <v/>
      </c>
      <c r="V86" s="4">
        <f>IF(U86&lt;300, 0, MIN(99, IF(U86&lt;500, U86*7%, IF(U86&lt;700, U86*12%, U86*15%))))</f>
        <v/>
      </c>
    </row>
    <row r="87">
      <c r="A87" s="6" t="inlineStr">
        <is>
          <t>RN8-GLS-GY-S</t>
        </is>
      </c>
      <c r="B87" s="7" t="inlineStr">
        <is>
          <t>Luxury Tempered Glass Shockproof Protective Back Cover for Realme Neo8 – Ultra-Slim Anti-Drop Case</t>
        </is>
      </c>
      <c r="C87" s="7" t="inlineStr">
        <is>
          <t>Transformers-Themed Glass Case for Realme Neo8, New Stylish and High-End Protective Cover, Ultra-Thin and Shockproof</t>
        </is>
      </c>
      <c r="D87" s="6" t="inlineStr">
        <is>
          <t>Tempered Glass</t>
        </is>
      </c>
      <c r="E87" s="6" t="inlineStr">
        <is>
          <t>A6080 Diamond Gray</t>
        </is>
      </c>
      <c r="F87" s="6" t="inlineStr">
        <is>
          <t>Realme Neo8</t>
        </is>
      </c>
      <c r="G87" s="6" t="inlineStr">
        <is>
          <t>No</t>
        </is>
      </c>
      <c r="H87" s="6" t="inlineStr">
        <is>
          <t>Yes</t>
        </is>
      </c>
      <c r="I87" s="6" t="inlineStr">
        <is>
          <t>Link</t>
        </is>
      </c>
      <c r="J87" s="7" t="inlineStr">
        <is>
          <t>https://moveon.global/BD_en/products/0000000YB9IRZNPB-transformers-themed-glass-case-for-realme-neo8-new-stylish-and-high-end-protective-cover-ultra-thin-and-shockproof/1AD8329701440673</t>
        </is>
      </c>
      <c r="K87" s="7" t="inlineStr">
        <is>
          <t>Realme Neo8/Tempered Glass/sku/RN8-GLS-GY-S.jpg</t>
        </is>
      </c>
      <c r="L87" s="8" t="n">
        <v>156.83</v>
      </c>
      <c r="M87" s="8" t="n">
        <v>45</v>
      </c>
      <c r="N87" s="8" t="n">
        <v>468</v>
      </c>
      <c r="O87" s="8" t="n">
        <v>5</v>
      </c>
      <c r="P87" s="8" t="n">
        <v>11.5</v>
      </c>
      <c r="Q87" s="8" t="n">
        <v>20</v>
      </c>
      <c r="R87" s="8" t="n">
        <v>0</v>
      </c>
      <c r="S87" s="8">
        <f>SUM(L87:R87)</f>
        <v/>
      </c>
      <c r="T87" s="8">
        <f>IF(S87&lt;300, S87*1.4, IF(S87&lt;400, S87*1.33, S87*1.25))</f>
        <v/>
      </c>
      <c r="U87" s="9">
        <f>INT(T87/100)*100 + IF(MOD(ROUND(T87,0),100)&lt;25, 0, IF(MOD(ROUND(T87,0),100)&lt;=74, 49, 99))</f>
        <v/>
      </c>
      <c r="V87" s="8">
        <f>IF(U87&lt;300, 0, MIN(99, IF(U87&lt;500, U87*7%, IF(U87&lt;700, U87*12%, U87*15%))))</f>
        <v/>
      </c>
    </row>
    <row r="88">
      <c r="A88" s="2" t="inlineStr">
        <is>
          <t>RN8-GLS-PR-S</t>
        </is>
      </c>
      <c r="B88" s="3" t="inlineStr">
        <is>
          <t>Luxury Tempered Glass Shockproof Protective Back Cover for Realme Neo8 – Ultra-Slim Anti-Drop Case</t>
        </is>
      </c>
      <c r="C88" s="3" t="inlineStr">
        <is>
          <t>Transformers-Themed Glass Case for Realme Neo8, New Stylish and High-End Protective Cover, Ultra-Thin and Shockproof</t>
        </is>
      </c>
      <c r="D88" s="2" t="inlineStr">
        <is>
          <t>Tempered Glass</t>
        </is>
      </c>
      <c r="E88" s="2" t="inlineStr">
        <is>
          <t>A6081 Ghost Purple</t>
        </is>
      </c>
      <c r="F88" s="2" t="inlineStr">
        <is>
          <t>Realme Neo8</t>
        </is>
      </c>
      <c r="G88" s="2" t="inlineStr">
        <is>
          <t>No</t>
        </is>
      </c>
      <c r="H88" s="2" t="inlineStr">
        <is>
          <t>Yes</t>
        </is>
      </c>
      <c r="I88" s="2" t="inlineStr">
        <is>
          <t>Link</t>
        </is>
      </c>
      <c r="J88" s="3" t="inlineStr">
        <is>
          <t>https://moveon.global/BD_en/products/0000000YB9IRZNPB-transformers-themed-glass-case-for-realme-neo8-new-stylish-and-high-end-protective-cover-ultra-thin-and-shockproof/1AD8329701440673</t>
        </is>
      </c>
      <c r="K88" s="3" t="inlineStr">
        <is>
          <t>Realme Neo8/Tempered Glass/sku/RN8-GLS-PR-S.jpg</t>
        </is>
      </c>
      <c r="L88" s="4" t="n">
        <v>156.83</v>
      </c>
      <c r="M88" s="4" t="n">
        <v>45</v>
      </c>
      <c r="N88" s="4" t="n">
        <v>468</v>
      </c>
      <c r="O88" s="4" t="n">
        <v>5</v>
      </c>
      <c r="P88" s="4" t="n">
        <v>11.5</v>
      </c>
      <c r="Q88" s="4" t="n">
        <v>20</v>
      </c>
      <c r="R88" s="4" t="n">
        <v>0</v>
      </c>
      <c r="S88" s="4">
        <f>SUM(L88:R88)</f>
        <v/>
      </c>
      <c r="T88" s="4">
        <f>IF(S88&lt;300, S88*1.4, IF(S88&lt;400, S88*1.33, S88*1.25))</f>
        <v/>
      </c>
      <c r="U88" s="5">
        <f>INT(T88/100)*100 + IF(MOD(ROUND(T88,0),100)&lt;25, 0, IF(MOD(ROUND(T88,0),100)&lt;=74, 49, 99))</f>
        <v/>
      </c>
      <c r="V88" s="4">
        <f>IF(U88&lt;300, 0, MIN(99, IF(U88&lt;500, U88*7%, IF(U88&lt;700, U88*12%, U88*15%))))</f>
        <v/>
      </c>
    </row>
    <row r="89">
      <c r="A89" s="6" t="inlineStr">
        <is>
          <t>RN8-GLS-RD-S</t>
        </is>
      </c>
      <c r="B89" s="7" t="inlineStr">
        <is>
          <t>Luxury Tempered Glass Shockproof Protective Back Cover for Realme Neo8 – Ultra-Slim Anti-Drop Case</t>
        </is>
      </c>
      <c r="C89" s="7" t="inlineStr">
        <is>
          <t>Transformers-Themed Glass Case for Realme Neo8, New Stylish and High-End Protective Cover, Ultra-Thin and Shockproof</t>
        </is>
      </c>
      <c r="D89" s="6" t="inlineStr">
        <is>
          <t>Tempered Glass</t>
        </is>
      </c>
      <c r="E89" s="6" t="inlineStr">
        <is>
          <t>A6082 Alarm Red</t>
        </is>
      </c>
      <c r="F89" s="6" t="inlineStr">
        <is>
          <t>Realme Neo8</t>
        </is>
      </c>
      <c r="G89" s="6" t="inlineStr">
        <is>
          <t>No</t>
        </is>
      </c>
      <c r="H89" s="6" t="inlineStr">
        <is>
          <t>Yes</t>
        </is>
      </c>
      <c r="I89" s="6" t="inlineStr">
        <is>
          <t>Link</t>
        </is>
      </c>
      <c r="J89" s="7" t="inlineStr">
        <is>
          <t>https://moveon.global/BD_en/products/0000000YB9IRZNPB-transformers-themed-glass-case-for-realme-neo8-new-stylish-and-high-end-protective-cover-ultra-thin-and-shockproof/1AD8329701440673</t>
        </is>
      </c>
      <c r="K89" s="7" t="inlineStr">
        <is>
          <t>Realme Neo8/Tempered Glass/sku/RN8-GLS-RD-S.jpg</t>
        </is>
      </c>
      <c r="L89" s="8" t="n">
        <v>156.83</v>
      </c>
      <c r="M89" s="8" t="n">
        <v>45</v>
      </c>
      <c r="N89" s="8" t="n">
        <v>468</v>
      </c>
      <c r="O89" s="8" t="n">
        <v>5</v>
      </c>
      <c r="P89" s="8" t="n">
        <v>11.5</v>
      </c>
      <c r="Q89" s="8" t="n">
        <v>20</v>
      </c>
      <c r="R89" s="8" t="n">
        <v>0</v>
      </c>
      <c r="S89" s="8">
        <f>SUM(L89:R89)</f>
        <v/>
      </c>
      <c r="T89" s="8">
        <f>IF(S89&lt;300, S89*1.4, IF(S89&lt;400, S89*1.33, S89*1.25))</f>
        <v/>
      </c>
      <c r="U89" s="9">
        <f>INT(T89/100)*100 + IF(MOD(ROUND(T89,0),100)&lt;25, 0, IF(MOD(ROUND(T89,0),100)&lt;=74, 49, 99))</f>
        <v/>
      </c>
      <c r="V89" s="8">
        <f>IF(U89&lt;300, 0, MIN(99, IF(U89&lt;500, U89*7%, IF(U89&lt;700, U89*12%, U89*15%))))</f>
        <v/>
      </c>
    </row>
    <row r="90">
      <c r="A90" s="2" t="inlineStr">
        <is>
          <t>S26U-PC-LG-W</t>
        </is>
      </c>
      <c r="B90" s="3" t="inlineStr">
        <is>
          <t>Frameless Wood Grain Magnetic Hard Case for Samsung Galaxy S26 Ultra – Luxury Shockproof Ultra-Slim Armor Protective Back Cover</t>
        </is>
      </c>
      <c r="C90" s="3" t="inlineStr">
        <is>
          <t>Foreign Trade Cross-Border Applicable Samsung S26Ultra Mobile Phone Case Frameless Wood Grain Magnetic Suction S25U Anti-Fall 24 Protective Case</t>
        </is>
      </c>
      <c r="D90" s="2" t="inlineStr">
        <is>
          <t>Hard PC</t>
        </is>
      </c>
      <c r="E90" s="2" t="inlineStr">
        <is>
          <t>Light Gray Wood Grain</t>
        </is>
      </c>
      <c r="F90" s="2" t="inlineStr">
        <is>
          <t>Samsung Galaxy S26 Ultra</t>
        </is>
      </c>
      <c r="G90" s="2" t="inlineStr">
        <is>
          <t>No</t>
        </is>
      </c>
      <c r="H90" s="2" t="inlineStr">
        <is>
          <t>No</t>
        </is>
      </c>
      <c r="I90" s="2" t="inlineStr">
        <is>
          <t>Link</t>
        </is>
      </c>
      <c r="J90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K90" s="3" t="inlineStr">
        <is>
          <t>Samsung Galaxy S26 Ultra/Hard PC/sku/S26U-PC-LG-W.jpg</t>
        </is>
      </c>
      <c r="L90" s="4" t="n">
        <v>215.93</v>
      </c>
      <c r="M90" s="4" t="n">
        <v>20</v>
      </c>
      <c r="N90" s="4" t="n">
        <v>50</v>
      </c>
      <c r="O90" s="4" t="n">
        <v>5</v>
      </c>
      <c r="P90" s="4" t="n">
        <v>11.5</v>
      </c>
      <c r="Q90" s="4" t="n">
        <v>20</v>
      </c>
      <c r="R90" s="4" t="n">
        <v>0</v>
      </c>
      <c r="S90" s="4">
        <f>SUM(L90:R90)</f>
        <v/>
      </c>
      <c r="T90" s="4">
        <f>IF(S90&lt;300, S90*1.4, IF(S90&lt;400, S90*1.33, S90*1.25))</f>
        <v/>
      </c>
      <c r="U90" s="5">
        <f>INT(T90/100)*100 + IF(MOD(ROUND(T90,0),100)&lt;25, 0, IF(MOD(ROUND(T90,0),100)&lt;=74, 49, 99))</f>
        <v/>
      </c>
      <c r="V90" s="4">
        <f>IF(U90&lt;300, 0, MIN(99, IF(U90&lt;500, U90*7%, IF(U90&lt;700, U90*12%, U90*15%))))</f>
        <v/>
      </c>
    </row>
    <row r="91">
      <c r="A91" s="6" t="inlineStr">
        <is>
          <t>S26U-PC-DG-W</t>
        </is>
      </c>
      <c r="B91" s="7" t="inlineStr">
        <is>
          <t>Frameless Wood Grain Magnetic Hard Case for Samsung Galaxy S26 Ultra – Luxury Shockproof Ultra-Slim Armor Protective Back Cover</t>
        </is>
      </c>
      <c r="C91" s="7" t="inlineStr">
        <is>
          <t>Foreign Trade Cross-Border Applicable Samsung S26Ultra Mobile Phone Case Frameless Wood Grain Magnetic Suction S25U Anti-Fall 24 Protective Case</t>
        </is>
      </c>
      <c r="D91" s="6" t="inlineStr">
        <is>
          <t>Hard PC</t>
        </is>
      </c>
      <c r="E91" s="6" t="inlineStr">
        <is>
          <t>Dark Gray Wood Grain</t>
        </is>
      </c>
      <c r="F91" s="6" t="inlineStr">
        <is>
          <t>Samsung Galaxy S26 Ultra</t>
        </is>
      </c>
      <c r="G91" s="6" t="inlineStr">
        <is>
          <t>No</t>
        </is>
      </c>
      <c r="H91" s="6" t="inlineStr">
        <is>
          <t>No</t>
        </is>
      </c>
      <c r="I91" s="6" t="inlineStr">
        <is>
          <t>Link</t>
        </is>
      </c>
      <c r="J91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K91" s="7" t="inlineStr">
        <is>
          <t>Samsung Galaxy S26 Ultra/Hard PC/sku/S26U-PC-DG-W.jpg</t>
        </is>
      </c>
      <c r="L91" s="8" t="n">
        <v>215.93</v>
      </c>
      <c r="M91" s="8" t="n">
        <v>20</v>
      </c>
      <c r="N91" s="8" t="n">
        <v>50</v>
      </c>
      <c r="O91" s="8" t="n">
        <v>5</v>
      </c>
      <c r="P91" s="8" t="n">
        <v>11.5</v>
      </c>
      <c r="Q91" s="8" t="n">
        <v>20</v>
      </c>
      <c r="R91" s="8" t="n">
        <v>0</v>
      </c>
      <c r="S91" s="8">
        <f>SUM(L91:R91)</f>
        <v/>
      </c>
      <c r="T91" s="8">
        <f>IF(S91&lt;300, S91*1.4, IF(S91&lt;400, S91*1.33, S91*1.25))</f>
        <v/>
      </c>
      <c r="U91" s="9">
        <f>INT(T91/100)*100 + IF(MOD(ROUND(T91,0),100)&lt;25, 0, IF(MOD(ROUND(T91,0),100)&lt;=74, 49, 99))</f>
        <v/>
      </c>
      <c r="V91" s="8">
        <f>IF(U91&lt;300, 0, MIN(99, IF(U91&lt;500, U91*7%, IF(U91&lt;700, U91*12%, U91*15%))))</f>
        <v/>
      </c>
    </row>
    <row r="92">
      <c r="A92" s="2" t="inlineStr">
        <is>
          <t>S26U-PC-LY-W</t>
        </is>
      </c>
      <c r="B92" s="3" t="inlineStr">
        <is>
          <t>Frameless Wood Grain Magnetic Hard Case for Samsung Galaxy S26 Ultra – Luxury Shockproof Ultra-Slim Armor Protective Back Cover</t>
        </is>
      </c>
      <c r="C92" s="3" t="inlineStr">
        <is>
          <t>Foreign Trade Cross-Border Applicable Samsung S26Ultra Mobile Phone Case Frameless Wood Grain Magnetic Suction S25U Anti-Fall 24 Protective Case</t>
        </is>
      </c>
      <c r="D92" s="2" t="inlineStr">
        <is>
          <t>Hard PC</t>
        </is>
      </c>
      <c r="E92" s="2" t="inlineStr">
        <is>
          <t>Light Yellow Wood Grain</t>
        </is>
      </c>
      <c r="F92" s="2" t="inlineStr">
        <is>
          <t>Samsung Galaxy S26 Ultra</t>
        </is>
      </c>
      <c r="G92" s="2" t="inlineStr">
        <is>
          <t>No</t>
        </is>
      </c>
      <c r="H92" s="2" t="inlineStr">
        <is>
          <t>No</t>
        </is>
      </c>
      <c r="I92" s="2" t="inlineStr">
        <is>
          <t>Link</t>
        </is>
      </c>
      <c r="J92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K92" s="3" t="inlineStr">
        <is>
          <t>Samsung Galaxy S26 Ultra/Hard PC/sku/S26U-PC-LY-W.jpg</t>
        </is>
      </c>
      <c r="L92" s="4" t="n">
        <v>215.93</v>
      </c>
      <c r="M92" s="4" t="n">
        <v>20</v>
      </c>
      <c r="N92" s="4" t="n">
        <v>50</v>
      </c>
      <c r="O92" s="4" t="n">
        <v>5</v>
      </c>
      <c r="P92" s="4" t="n">
        <v>11.5</v>
      </c>
      <c r="Q92" s="4" t="n">
        <v>20</v>
      </c>
      <c r="R92" s="4" t="n">
        <v>0</v>
      </c>
      <c r="S92" s="4">
        <f>SUM(L92:R92)</f>
        <v/>
      </c>
      <c r="T92" s="4">
        <f>IF(S92&lt;300, S92*1.4, IF(S92&lt;400, S92*1.33, S92*1.25))</f>
        <v/>
      </c>
      <c r="U92" s="5">
        <f>INT(T92/100)*100 + IF(MOD(ROUND(T92,0),100)&lt;25, 0, IF(MOD(ROUND(T92,0),100)&lt;=74, 49, 99))</f>
        <v/>
      </c>
      <c r="V92" s="4">
        <f>IF(U92&lt;300, 0, MIN(99, IF(U92&lt;500, U92*7%, IF(U92&lt;700, U92*12%, U92*15%))))</f>
        <v/>
      </c>
    </row>
    <row r="93">
      <c r="A93" s="6" t="inlineStr">
        <is>
          <t>S26U-PC-PL-W</t>
        </is>
      </c>
      <c r="B93" s="7" t="inlineStr">
        <is>
          <t>Frameless Wood Grain Magnetic Hard Case for Samsung Galaxy S26 Ultra – Luxury Shockproof Ultra-Slim Armor Protective Back Cover</t>
        </is>
      </c>
      <c r="C93" s="7" t="inlineStr">
        <is>
          <t>Foreign Trade Cross-Border Applicable Samsung S26Ultra Mobile Phone Case Frameless Wood Grain Magnetic Suction S25U Anti-Fall 24 Protective Case</t>
        </is>
      </c>
      <c r="D93" s="6" t="inlineStr">
        <is>
          <t>Hard PC</t>
        </is>
      </c>
      <c r="E93" s="6" t="inlineStr">
        <is>
          <t>Poplar Wood Grain</t>
        </is>
      </c>
      <c r="F93" s="6" t="inlineStr">
        <is>
          <t>Samsung Galaxy S26 Ultra</t>
        </is>
      </c>
      <c r="G93" s="6" t="inlineStr">
        <is>
          <t>No</t>
        </is>
      </c>
      <c r="H93" s="6" t="inlineStr">
        <is>
          <t>No</t>
        </is>
      </c>
      <c r="I93" s="6" t="inlineStr">
        <is>
          <t>Link</t>
        </is>
      </c>
      <c r="J93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K93" s="7" t="inlineStr">
        <is>
          <t>Samsung Galaxy S26 Ultra/Hard PC/sku/S26U-PC-PL-W.jpg</t>
        </is>
      </c>
      <c r="L93" s="8" t="n">
        <v>215.93</v>
      </c>
      <c r="M93" s="8" t="n">
        <v>20</v>
      </c>
      <c r="N93" s="8" t="n">
        <v>50</v>
      </c>
      <c r="O93" s="8" t="n">
        <v>5</v>
      </c>
      <c r="P93" s="8" t="n">
        <v>11.5</v>
      </c>
      <c r="Q93" s="8" t="n">
        <v>20</v>
      </c>
      <c r="R93" s="8" t="n">
        <v>0</v>
      </c>
      <c r="S93" s="8">
        <f>SUM(L93:R93)</f>
        <v/>
      </c>
      <c r="T93" s="8">
        <f>IF(S93&lt;300, S93*1.4, IF(S93&lt;400, S93*1.33, S93*1.25))</f>
        <v/>
      </c>
      <c r="U93" s="9">
        <f>INT(T93/100)*100 + IF(MOD(ROUND(T93,0),100)&lt;25, 0, IF(MOD(ROUND(T93,0),100)&lt;=74, 49, 99))</f>
        <v/>
      </c>
      <c r="V93" s="8">
        <f>IF(U93&lt;300, 0, MIN(99, IF(U93&lt;500, U93*7%, IF(U93&lt;700, U93*12%, U93*15%))))</f>
        <v/>
      </c>
    </row>
    <row r="94">
      <c r="A94" s="2" t="inlineStr">
        <is>
          <t>S26U-PC-RP-W</t>
        </is>
      </c>
      <c r="B94" s="3" t="inlineStr">
        <is>
          <t>Frameless Wood Grain Magnetic Hard Case for Samsung Galaxy S26 Ultra – Luxury Shockproof Ultra-Slim Armor Protective Back Cover</t>
        </is>
      </c>
      <c r="C94" s="3" t="inlineStr">
        <is>
          <t>Foreign Trade Cross-Border Applicable Samsung S26Ultra Mobile Phone Case Frameless Wood Grain Magnetic Suction S25U Anti-Fall 24 Protective Case</t>
        </is>
      </c>
      <c r="D94" s="2" t="inlineStr">
        <is>
          <t>Hard PC</t>
        </is>
      </c>
      <c r="E94" s="2" t="inlineStr">
        <is>
          <t>Red Poplar Wood Grain</t>
        </is>
      </c>
      <c r="F94" s="2" t="inlineStr">
        <is>
          <t>Samsung Galaxy S26 Ultra</t>
        </is>
      </c>
      <c r="G94" s="2" t="inlineStr">
        <is>
          <t>No</t>
        </is>
      </c>
      <c r="H94" s="2" t="inlineStr">
        <is>
          <t>No</t>
        </is>
      </c>
      <c r="I94" s="2" t="inlineStr">
        <is>
          <t>Link</t>
        </is>
      </c>
      <c r="J94" s="3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K94" s="3" t="inlineStr">
        <is>
          <t>Samsung Galaxy S26 Ultra/Hard PC/sku/S26U-PC-RP-W.jpg</t>
        </is>
      </c>
      <c r="L94" s="4" t="n">
        <v>215.93</v>
      </c>
      <c r="M94" s="4" t="n">
        <v>20</v>
      </c>
      <c r="N94" s="4" t="n">
        <v>50</v>
      </c>
      <c r="O94" s="4" t="n">
        <v>5</v>
      </c>
      <c r="P94" s="4" t="n">
        <v>11.5</v>
      </c>
      <c r="Q94" s="4" t="n">
        <v>20</v>
      </c>
      <c r="R94" s="4" t="n">
        <v>0</v>
      </c>
      <c r="S94" s="4">
        <f>SUM(L94:R94)</f>
        <v/>
      </c>
      <c r="T94" s="4">
        <f>IF(S94&lt;300, S94*1.4, IF(S94&lt;400, S94*1.33, S94*1.25))</f>
        <v/>
      </c>
      <c r="U94" s="5">
        <f>INT(T94/100)*100 + IF(MOD(ROUND(T94,0),100)&lt;25, 0, IF(MOD(ROUND(T94,0),100)&lt;=74, 49, 99))</f>
        <v/>
      </c>
      <c r="V94" s="4">
        <f>IF(U94&lt;300, 0, MIN(99, IF(U94&lt;500, U94*7%, IF(U94&lt;700, U94*12%, U94*15%))))</f>
        <v/>
      </c>
    </row>
    <row r="95">
      <c r="A95" s="6" t="inlineStr">
        <is>
          <t>S26U-PC-CB-W</t>
        </is>
      </c>
      <c r="B95" s="7" t="inlineStr">
        <is>
          <t>Frameless Wood Grain Magnetic Hard Case for Samsung Galaxy S26 Ultra – Luxury Shockproof Ultra-Slim Armor Protective Back Cover</t>
        </is>
      </c>
      <c r="C95" s="7" t="inlineStr">
        <is>
          <t>Foreign Trade Cross-Border Applicable Samsung S26Ultra Mobile Phone Case Frameless Wood Grain Magnetic Suction S25U Anti-Fall 24 Protective Case</t>
        </is>
      </c>
      <c r="D95" s="6" t="inlineStr">
        <is>
          <t>Hard PC</t>
        </is>
      </c>
      <c r="E95" s="6" t="inlineStr">
        <is>
          <t>Cowboy Wood Grain</t>
        </is>
      </c>
      <c r="F95" s="6" t="inlineStr">
        <is>
          <t>Samsung Galaxy S26 Ultra</t>
        </is>
      </c>
      <c r="G95" s="6" t="inlineStr">
        <is>
          <t>No</t>
        </is>
      </c>
      <c r="H95" s="6" t="inlineStr">
        <is>
          <t>No</t>
        </is>
      </c>
      <c r="I95" s="6" t="inlineStr">
        <is>
          <t>Link</t>
        </is>
      </c>
      <c r="J95" s="7" t="inlineStr">
        <is>
          <t>https://moveon.global/BD_en/products/0000000BB811A2TJ-foreign-trade-cross-border-applicable-samsung-s26ultra-mobile-phone-case-frameless-wood-grain-magnetic-suction-s25u-anti-fall-24-protective-case/1AC6839645384080</t>
        </is>
      </c>
      <c r="K95" s="7" t="inlineStr">
        <is>
          <t>Samsung Galaxy S26 Ultra/Hard PC/sku/S26U-PC-CB-W.jpg</t>
        </is>
      </c>
      <c r="L95" s="8" t="n">
        <v>215.93</v>
      </c>
      <c r="M95" s="8" t="n">
        <v>20</v>
      </c>
      <c r="N95" s="8" t="n">
        <v>50</v>
      </c>
      <c r="O95" s="8" t="n">
        <v>5</v>
      </c>
      <c r="P95" s="8" t="n">
        <v>11.5</v>
      </c>
      <c r="Q95" s="8" t="n">
        <v>20</v>
      </c>
      <c r="R95" s="8" t="n">
        <v>0</v>
      </c>
      <c r="S95" s="8">
        <f>SUM(L95:R95)</f>
        <v/>
      </c>
      <c r="T95" s="8">
        <f>IF(S95&lt;300, S95*1.4, IF(S95&lt;400, S95*1.33, S95*1.25))</f>
        <v/>
      </c>
      <c r="U95" s="9">
        <f>INT(T95/100)*100 + IF(MOD(ROUND(T95,0),100)&lt;25, 0, IF(MOD(ROUND(T95,0),100)&lt;=74, 49, 99))</f>
        <v/>
      </c>
      <c r="V95" s="8">
        <f>IF(U95&lt;300, 0, MIN(99, IF(U95&lt;500, U95*7%, IF(U95&lt;700, U95*12%, U95*15%))))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2026-10-22T07:31:49Z</dcterms:created>
  <dcterms:modified xsi:type="dcterms:W3CDTF">2026-10-22T07:31:49Z</dcterms:modified>
</cp:coreProperties>
</file>