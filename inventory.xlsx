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/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SUM(J2:P2)</f>
        <v/>
      </c>
      <c r="S2" s="4">
        <f>IF(Q2&lt;300, Q2*1.4, IF(Q2&lt;400, Q2*1.33, Q2*1.25))</f>
        <v/>
      </c>
      <c r="T2" s="5">
        <f>INT(R2/100)*100 + IF(MOD(ROUND(R2,0),100)&lt;25, 0, IF(MOD(ROUND(R2,0),100)&lt;=74, 49, 99))</f>
        <v/>
      </c>
      <c r="U2" s="4">
        <f>IF(S2&lt;300, 0, MIN(99, IF(S2&lt;500, S2*7%, IF(S2&lt;700, S2*12%, S2*15%))))</f>
        <v/>
      </c>
    </row>
    <row r="3">
      <c r="A3" s="6" t="inlineStr">
        <is>
          <t>18PM-TPUM-CR-N</t>
        </is>
      </c>
      <c r="B3" s="7" t="inlineStr"/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SUM(J3:P3)</f>
        <v/>
      </c>
      <c r="S3" s="8">
        <f>IF(Q3&lt;300, Q3*1.4, IF(Q3&lt;400, Q3*1.33, Q3*1.25))</f>
        <v/>
      </c>
      <c r="T3" s="9">
        <f>INT(R3/100)*100 + IF(MOD(ROUND(R3,0),100)&lt;25, 0, IF(MOD(ROUND(R3,0),100)&lt;=74, 49, 99))</f>
        <v/>
      </c>
      <c r="U3" s="8">
        <f>IF(S3&lt;300, 0, MIN(99, IF(S3&lt;500, S3*7%, IF(S3&lt;700, S3*12%, S3*15%))))</f>
        <v/>
      </c>
    </row>
    <row r="4">
      <c r="A4" s="2" t="inlineStr">
        <is>
          <t>18PM-TPUM-SB-N</t>
        </is>
      </c>
      <c r="B4" s="3" t="inlineStr"/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SUM(J4:P4)</f>
        <v/>
      </c>
      <c r="S4" s="4">
        <f>IF(Q4&lt;300, Q4*1.4, IF(Q4&lt;400, Q4*1.33, Q4*1.25))</f>
        <v/>
      </c>
      <c r="T4" s="5">
        <f>INT(R4/100)*100 + IF(MOD(ROUND(R4,0),100)&lt;25, 0, IF(MOD(ROUND(R4,0),100)&lt;=74, 49, 99))</f>
        <v/>
      </c>
      <c r="U4" s="4">
        <f>IF(S4&lt;300, 0, MIN(99, IF(S4&lt;500, S4*7%, IF(S4&lt;700, S4*12%, S4*15%))))</f>
        <v/>
      </c>
    </row>
    <row r="5">
      <c r="A5" s="6" t="inlineStr">
        <is>
          <t>T4P-AC-BG-N</t>
        </is>
      </c>
      <c r="B5" s="7" t="inlineStr"/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SUM(J5:P5)</f>
        <v/>
      </c>
      <c r="S5" s="8">
        <f>IF(Q5&lt;300, Q5*1.4, IF(Q5&lt;400, Q5*1.33, Q5*1.25))</f>
        <v/>
      </c>
      <c r="T5" s="9">
        <f>INT(R5/100)*100 + IF(MOD(ROUND(R5,0),100)&lt;25, 0, IF(MOD(ROUND(R5,0),100)&lt;=74, 49, 99))</f>
        <v/>
      </c>
      <c r="U5" s="8">
        <f>IF(S5&lt;300, 0, MIN(99, IF(S5&lt;500, S5*7%, IF(S5&lt;700, S5*12%, S5*15%))))</f>
        <v/>
      </c>
    </row>
    <row r="6">
      <c r="A6" s="2" t="inlineStr">
        <is>
          <t>T4P-AC-BR-N</t>
        </is>
      </c>
      <c r="B6" s="3" t="inlineStr"/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SUM(J6:P6)</f>
        <v/>
      </c>
      <c r="S6" s="4">
        <f>IF(Q6&lt;300, Q6*1.4, IF(Q6&lt;400, Q6*1.33, Q6*1.25))</f>
        <v/>
      </c>
      <c r="T6" s="5">
        <f>INT(R6/100)*100 + IF(MOD(ROUND(R6,0),100)&lt;25, 0, IF(MOD(ROUND(R6,0),100)&lt;=74, 49, 99))</f>
        <v/>
      </c>
      <c r="U6" s="4">
        <f>IF(S6&lt;300, 0, MIN(99, IF(S6&lt;500, S6*7%, IF(S6&lt;700, S6*12%, S6*15%))))</f>
        <v/>
      </c>
    </row>
    <row r="7">
      <c r="A7" s="6" t="inlineStr">
        <is>
          <t>T4P-AC-BB-N</t>
        </is>
      </c>
      <c r="B7" s="7" t="inlineStr"/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SUM(J7:P7)</f>
        <v/>
      </c>
      <c r="S7" s="8">
        <f>IF(Q7&lt;300, Q7*1.4, IF(Q7&lt;400, Q7*1.33, Q7*1.25))</f>
        <v/>
      </c>
      <c r="T7" s="9">
        <f>INT(R7/100)*100 + IF(MOD(ROUND(R7,0),100)&lt;25, 0, IF(MOD(ROUND(R7,0),100)&lt;=74, 49, 99))</f>
        <v/>
      </c>
      <c r="U7" s="8">
        <f>IF(S7&lt;300, 0, MIN(99, IF(S7&lt;500, S7*7%, IF(S7&lt;700, S7*12%, S7*15%))))</f>
        <v/>
      </c>
    </row>
    <row r="8">
      <c r="A8" s="2" t="inlineStr">
        <is>
          <t>T4-AC-BR-N</t>
        </is>
      </c>
      <c r="B8" s="3" t="inlineStr"/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SUM(J8:P8)</f>
        <v/>
      </c>
      <c r="S8" s="4">
        <f>IF(Q8&lt;300, Q8*1.4, IF(Q8&lt;400, Q8*1.33, Q8*1.25))</f>
        <v/>
      </c>
      <c r="T8" s="5">
        <f>INT(R8/100)*100 + IF(MOD(ROUND(R8,0),100)&lt;25, 0, IF(MOD(ROUND(R8,0),100)&lt;=74, 49, 99))</f>
        <v/>
      </c>
      <c r="U8" s="4">
        <f>IF(S8&lt;300, 0, MIN(99, IF(S8&lt;500, S8*7%, IF(S8&lt;700, S8*12%, S8*15%))))</f>
        <v/>
      </c>
    </row>
    <row r="9">
      <c r="A9" s="6" t="inlineStr">
        <is>
          <t>T4-AC-BB-N</t>
        </is>
      </c>
      <c r="B9" s="7" t="inlineStr"/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SUM(J9:P9)</f>
        <v/>
      </c>
      <c r="S9" s="8">
        <f>IF(Q9&lt;300, Q9*1.4, IF(Q9&lt;400, Q9*1.33, Q9*1.25))</f>
        <v/>
      </c>
      <c r="T9" s="9">
        <f>INT(R9/100)*100 + IF(MOD(ROUND(R9,0),100)&lt;25, 0, IF(MOD(ROUND(R9,0),100)&lt;=74, 49, 99))</f>
        <v/>
      </c>
      <c r="U9" s="8">
        <f>IF(S9&lt;300, 0, MIN(99, IF(S9&lt;500, S9*7%, IF(S9&lt;700, S9*12%, S9*15%))))</f>
        <v/>
      </c>
    </row>
    <row r="10">
      <c r="A10" s="2" t="inlineStr">
        <is>
          <t>S26U-SI-BP-N</t>
        </is>
      </c>
      <c r="B10" s="3" t="inlineStr"/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SUM(J10:P10)</f>
        <v/>
      </c>
      <c r="S10" s="4">
        <f>IF(Q10&lt;300, Q10*1.4, IF(Q10&lt;400, Q10*1.33, Q10*1.25))</f>
        <v/>
      </c>
      <c r="T10" s="5">
        <f>INT(R10/100)*100 + IF(MOD(ROUND(R10,0),100)&lt;25, 0, IF(MOD(ROUND(R10,0),100)&lt;=74, 49, 99))</f>
        <v/>
      </c>
      <c r="U10" s="4">
        <f>IF(S10&lt;300, 0, MIN(99, IF(S10&lt;500, S10*7%, IF(S10&lt;700, S10*12%, S10*15%))))</f>
        <v/>
      </c>
    </row>
    <row r="11">
      <c r="A11" s="6" t="inlineStr">
        <is>
          <t>T4P-TG-WP-N</t>
        </is>
      </c>
      <c r="B11" s="7" t="inlineStr"/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SUM(J11:P11)</f>
        <v/>
      </c>
      <c r="S11" s="8">
        <f>IF(Q11&lt;300, Q11*1.4, IF(Q11&lt;400, Q11*1.33, Q11*1.25))</f>
        <v/>
      </c>
      <c r="T11" s="9">
        <f>INT(R11/100)*100 + IF(MOD(ROUND(R11,0),100)&lt;25, 0, IF(MOD(ROUND(R11,0),100)&lt;=74, 49, 99))</f>
        <v/>
      </c>
      <c r="U11" s="8">
        <f>IF(S11&lt;300, 0, MIN(99, IF(S11&lt;500, S11*7%, IF(S11&lt;700, S11*12%, S11*15%))))</f>
        <v/>
      </c>
    </row>
    <row r="12">
      <c r="A12" s="2" t="inlineStr">
        <is>
          <t>T4P-TG-WP-N</t>
        </is>
      </c>
      <c r="B12" s="3" t="inlineStr"/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SUM(J12:P12)</f>
        <v/>
      </c>
      <c r="S12" s="4">
        <f>IF(Q12&lt;300, Q12*1.4, IF(Q12&lt;400, Q12*1.33, Q12*1.25))</f>
        <v/>
      </c>
      <c r="T12" s="5">
        <f>INT(R12/100)*100 + IF(MOD(ROUND(R12,0),100)&lt;25, 0, IF(MOD(ROUND(R12,0),100)&lt;=74, 49, 99))</f>
        <v/>
      </c>
      <c r="U12" s="4">
        <f>IF(S12&lt;300, 0, MIN(99, IF(S12&lt;500, S12*7%, IF(S12&lt;700, S12*12%, S12*15%))))</f>
        <v/>
      </c>
    </row>
    <row r="13">
      <c r="A13" s="6" t="inlineStr">
        <is>
          <t>T4P-TG-WP-N</t>
        </is>
      </c>
      <c r="B13" s="7" t="inlineStr"/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SUM(J13:P13)</f>
        <v/>
      </c>
      <c r="S13" s="8">
        <f>IF(Q13&lt;300, Q13*1.4, IF(Q13&lt;400, Q13*1.33, Q13*1.25))</f>
        <v/>
      </c>
      <c r="T13" s="9">
        <f>INT(R13/100)*100 + IF(MOD(ROUND(R13,0),100)&lt;25, 0, IF(MOD(ROUND(R13,0),100)&lt;=74, 49, 99))</f>
        <v/>
      </c>
      <c r="U13" s="8">
        <f>IF(S13&lt;300, 0, MIN(99, IF(S13&lt;500, S13*7%, IF(S13&lt;700, S13*12%, S13*15%))))</f>
        <v/>
      </c>
    </row>
    <row r="14">
      <c r="A14" s="2" t="inlineStr">
        <is>
          <t>T4P-TG-WP-N</t>
        </is>
      </c>
      <c r="B14" s="3" t="inlineStr"/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SUM(J14:P14)</f>
        <v/>
      </c>
      <c r="S14" s="4">
        <f>IF(Q14&lt;300, Q14*1.4, IF(Q14&lt;400, Q14*1.33, Q14*1.25))</f>
        <v/>
      </c>
      <c r="T14" s="5">
        <f>INT(R14/100)*100 + IF(MOD(ROUND(R14,0),100)&lt;25, 0, IF(MOD(ROUND(R14,0),100)&lt;=74, 49, 99))</f>
        <v/>
      </c>
      <c r="U14" s="4">
        <f>IF(S14&lt;300, 0, MIN(99, IF(S14&lt;500, S14*7%, IF(S14&lt;700, S14*12%, S14*15%))))</f>
        <v/>
      </c>
    </row>
    <row r="15">
      <c r="A15" s="6" t="inlineStr">
        <is>
          <t>H600-SKn-G-N</t>
        </is>
      </c>
      <c r="B15" s="7" t="inlineStr"/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SUM(J15:P15)</f>
        <v/>
      </c>
      <c r="S15" s="8">
        <f>IF(Q15&lt;300, Q15*1.4, IF(Q15&lt;400, Q15*1.33, Q15*1.25))</f>
        <v/>
      </c>
      <c r="T15" s="9">
        <f>INT(R15/100)*100 + IF(MOD(ROUND(R15,0),100)&lt;25, 0, IF(MOD(ROUND(R15,0),100)&lt;=74, 49, 99))</f>
        <v/>
      </c>
      <c r="U15" s="8">
        <f>IF(S15&lt;300, 0, MIN(99, IF(S15&lt;500, S15*7%, IF(S15&lt;700, S15*12%, S15*15%))))</f>
        <v/>
      </c>
    </row>
    <row r="16">
      <c r="A16" s="2" t="inlineStr">
        <is>
          <t>H600P-SKn-G-N</t>
        </is>
      </c>
      <c r="B16" s="3" t="inlineStr"/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SUM(J16:P16)</f>
        <v/>
      </c>
      <c r="S16" s="4">
        <f>IF(Q16&lt;300, Q16*1.4, IF(Q16&lt;400, Q16*1.33, Q16*1.25))</f>
        <v/>
      </c>
      <c r="T16" s="5">
        <f>INT(R16/100)*100 + IF(MOD(ROUND(R16,0),100)&lt;25, 0, IF(MOD(ROUND(R16,0),100)&lt;=74, 49, 99))</f>
        <v/>
      </c>
      <c r="U16" s="4">
        <f>IF(S16&lt;300, 0, MIN(99, IF(S16&lt;500, S16*7%, IF(S16&lt;700, S16*12%, S16*15%))))</f>
        <v/>
      </c>
    </row>
    <row r="17">
      <c r="A17" s="6" t="inlineStr">
        <is>
          <t>S26U-PW-B-N</t>
        </is>
      </c>
      <c r="B17" s="7" t="inlineStr"/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SUM(J17:P17)</f>
        <v/>
      </c>
      <c r="S17" s="8">
        <f>IF(Q17&lt;300, Q17*1.4, IF(Q17&lt;400, Q17*1.33, Q17*1.25))</f>
        <v/>
      </c>
      <c r="T17" s="9">
        <f>INT(R17/100)*100 + IF(MOD(ROUND(R17,0),100)&lt;25, 0, IF(MOD(ROUND(R17,0),100)&lt;=74, 49, 99))</f>
        <v/>
      </c>
      <c r="U17" s="8">
        <f>IF(S17&lt;300, 0, MIN(99, IF(S17&lt;500, S17*7%, IF(S17&lt;700, S17*12%, S17*15%))))</f>
        <v/>
      </c>
    </row>
    <row r="18">
      <c r="A18" s="2" t="inlineStr">
        <is>
          <t>S26U-PW-B-N</t>
        </is>
      </c>
      <c r="B18" s="3" t="inlineStr"/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SUM(J18:P18)</f>
        <v/>
      </c>
      <c r="S18" s="4">
        <f>IF(Q18&lt;300, Q18*1.4, IF(Q18&lt;400, Q18*1.33, Q18*1.25))</f>
        <v/>
      </c>
      <c r="T18" s="5">
        <f>INT(R18/100)*100 + IF(MOD(ROUND(R18,0),100)&lt;25, 0, IF(MOD(ROUND(R18,0),100)&lt;=74, 49, 99))</f>
        <v/>
      </c>
      <c r="U18" s="4">
        <f>IF(S18&lt;300, 0, MIN(99, IF(S18&lt;500, S18*7%, IF(S18&lt;700, S18*12%, S18*15%))))</f>
        <v/>
      </c>
    </row>
    <row r="19">
      <c r="A19" s="6" t="inlineStr">
        <is>
          <t>S26U-MI-B-N</t>
        </is>
      </c>
      <c r="B19" s="7" t="inlineStr"/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SUM(J19:P19)</f>
        <v/>
      </c>
      <c r="S19" s="8">
        <f>IF(Q19&lt;300, Q19*1.4, IF(Q19&lt;400, Q19*1.33, Q19*1.25))</f>
        <v/>
      </c>
      <c r="T19" s="9">
        <f>INT(R19/100)*100 + IF(MOD(ROUND(R19,0),100)&lt;25, 0, IF(MOD(ROUND(R19,0),100)&lt;=74, 49, 99))</f>
        <v/>
      </c>
      <c r="U19" s="8">
        <f>IF(S19&lt;300, 0, MIN(99, IF(S19&lt;500, S19*7%, IF(S19&lt;700, S19*12%, S19*15%))))</f>
        <v/>
      </c>
    </row>
    <row r="20">
      <c r="A20" s="2" t="inlineStr">
        <is>
          <t>18P-AC-M-R-N</t>
        </is>
      </c>
      <c r="B20" s="3" t="inlineStr"/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SUM(J20:P20)</f>
        <v/>
      </c>
      <c r="S20" s="4">
        <f>IF(Q20&lt;300, Q20*1.4, IF(Q20&lt;400, Q20*1.33, Q20*1.25))</f>
        <v/>
      </c>
      <c r="T20" s="5">
        <f>INT(R20/100)*100 + IF(MOD(ROUND(R20,0),100)&lt;25, 0, IF(MOD(ROUND(R20,0),100)&lt;=74, 49, 99))</f>
        <v/>
      </c>
      <c r="U20" s="4">
        <f>IF(S20&lt;300, 0, MIN(99, IF(S20&lt;500, S20*7%, IF(S20&lt;700, S20*12%, S20*15%))))</f>
        <v/>
      </c>
    </row>
    <row r="21">
      <c r="A21" s="6" t="inlineStr">
        <is>
          <t>18PM-AC-M-R-N</t>
        </is>
      </c>
      <c r="B21" s="7" t="inlineStr"/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SUM(J21:P21)</f>
        <v/>
      </c>
      <c r="S21" s="8">
        <f>IF(Q21&lt;300, Q21*1.4, IF(Q21&lt;400, Q21*1.33, Q21*1.25))</f>
        <v/>
      </c>
      <c r="T21" s="9">
        <f>INT(R21/100)*100 + IF(MOD(ROUND(R21,0),100)&lt;25, 0, IF(MOD(ROUND(R21,0),100)&lt;=74, 49, 99))</f>
        <v/>
      </c>
      <c r="U21" s="8">
        <f>IF(S21&lt;300, 0, MIN(99, IF(S21&lt;500, S21*7%, IF(S21&lt;700, S21*12%, S21*15%))))</f>
        <v/>
      </c>
    </row>
    <row r="22">
      <c r="A22" s="2" t="inlineStr">
        <is>
          <t>18PM-AC-M-B-N</t>
        </is>
      </c>
      <c r="B22" s="3" t="inlineStr"/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SUM(J22:P22)</f>
        <v/>
      </c>
      <c r="S22" s="4">
        <f>IF(Q22&lt;300, Q22*1.4, IF(Q22&lt;400, Q22*1.33, Q22*1.25))</f>
        <v/>
      </c>
      <c r="T22" s="5">
        <f>INT(R22/100)*100 + IF(MOD(ROUND(R22,0),100)&lt;25, 0, IF(MOD(ROUND(R22,0),100)&lt;=74, 49, 99))</f>
        <v/>
      </c>
      <c r="U22" s="4">
        <f>IF(S22&lt;300, 0, MIN(99, IF(S22&lt;500, S22*7%, IF(S22&lt;700, S22*12%, S22*15%))))</f>
        <v/>
      </c>
    </row>
    <row r="23">
      <c r="A23" s="6" t="inlineStr">
        <is>
          <t>17PM-AC-M-O-N</t>
        </is>
      </c>
      <c r="B23" s="7" t="inlineStr"/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SUM(J23:P23)</f>
        <v/>
      </c>
      <c r="S23" s="8">
        <f>IF(Q23&lt;300, Q23*1.4, IF(Q23&lt;400, Q23*1.33, Q23*1.25))</f>
        <v/>
      </c>
      <c r="T23" s="9">
        <f>INT(R23/100)*100 + IF(MOD(ROUND(R23,0),100)&lt;25, 0, IF(MOD(ROUND(R23,0),100)&lt;=74, 49, 99))</f>
        <v/>
      </c>
      <c r="U23" s="8">
        <f>IF(S23&lt;300, 0, MIN(99, IF(S23&lt;500, S23*7%, IF(S23&lt;700, S23*12%, S23*15%))))</f>
        <v/>
      </c>
    </row>
    <row r="24">
      <c r="A24" s="2" t="inlineStr">
        <is>
          <t>17PM-AC-M-PK-N</t>
        </is>
      </c>
      <c r="B24" s="3" t="inlineStr"/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SUM(J24:P24)</f>
        <v/>
      </c>
      <c r="S24" s="4">
        <f>IF(Q24&lt;300, Q24*1.4, IF(Q24&lt;400, Q24*1.33, Q24*1.25))</f>
        <v/>
      </c>
      <c r="T24" s="5">
        <f>INT(R24/100)*100 + IF(MOD(ROUND(R24,0),100)&lt;25, 0, IF(MOD(ROUND(R24,0),100)&lt;=74, 49, 99))</f>
        <v/>
      </c>
      <c r="U24" s="4">
        <f>IF(S24&lt;300, 0, MIN(99, IF(S24&lt;500, S24*7%, IF(S24&lt;700, S24*12%, S24*15%))))</f>
        <v/>
      </c>
    </row>
    <row r="25">
      <c r="A25" s="6" t="inlineStr">
        <is>
          <t>18PM-HS-S-N</t>
        </is>
      </c>
      <c r="B25" s="7" t="inlineStr"/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SUM(J25:P25)</f>
        <v/>
      </c>
      <c r="S25" s="8">
        <f>IF(Q25&lt;300, Q25*1.4, IF(Q25&lt;400, Q25*1.33, Q25*1.25))</f>
        <v/>
      </c>
      <c r="T25" s="9">
        <f>INT(R25/100)*100 + IF(MOD(ROUND(R25,0),100)&lt;25, 0, IF(MOD(ROUND(R25,0),100)&lt;=74, 49, 99))</f>
        <v/>
      </c>
      <c r="U25" s="8">
        <f>IF(S25&lt;300, 0, MIN(99, IF(S25&lt;500, S25*7%, IF(S25&lt;700, S25*12%, S25*15%))))</f>
        <v/>
      </c>
    </row>
    <row r="26">
      <c r="A26" s="2" t="inlineStr">
        <is>
          <t>18P-HS-S-N</t>
        </is>
      </c>
      <c r="B26" s="3" t="inlineStr"/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SUM(J26:P26)</f>
        <v/>
      </c>
      <c r="S26" s="4">
        <f>IF(Q26&lt;300, Q26*1.4, IF(Q26&lt;400, Q26*1.33, Q26*1.25))</f>
        <v/>
      </c>
      <c r="T26" s="5">
        <f>INT(R26/100)*100 + IF(MOD(ROUND(R26,0),100)&lt;25, 0, IF(MOD(ROUND(R26,0),100)&lt;=74, 49, 99))</f>
        <v/>
      </c>
      <c r="U26" s="4">
        <f>IF(S26&lt;300, 0, MIN(99, IF(S26&lt;500, S26*7%, IF(S26&lt;700, S26*12%, S26*15%))))</f>
        <v/>
      </c>
    </row>
    <row r="27">
      <c r="A27" s="6" t="inlineStr">
        <is>
          <t>17PM-HS-S-N</t>
        </is>
      </c>
      <c r="B27" s="7" t="inlineStr"/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SUM(J27:P27)</f>
        <v/>
      </c>
      <c r="S27" s="8">
        <f>IF(Q27&lt;300, Q27*1.4, IF(Q27&lt;400, Q27*1.33, Q27*1.25))</f>
        <v/>
      </c>
      <c r="T27" s="9">
        <f>INT(R27/100)*100 + IF(MOD(ROUND(R27,0),100)&lt;25, 0, IF(MOD(ROUND(R27,0),100)&lt;=74, 49, 99))</f>
        <v/>
      </c>
      <c r="U27" s="8">
        <f>IF(S27&lt;300, 0, MIN(99, IF(S27&lt;500, S27*7%, IF(S27&lt;700, S27*12%, S27*15%))))</f>
        <v/>
      </c>
    </row>
    <row r="28">
      <c r="A28" s="2" t="inlineStr">
        <is>
          <t>17P-HS-S-N</t>
        </is>
      </c>
      <c r="B28" s="3" t="inlineStr"/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SUM(J28:P28)</f>
        <v/>
      </c>
      <c r="S28" s="4">
        <f>IF(Q28&lt;300, Q28*1.4, IF(Q28&lt;400, Q28*1.33, Q28*1.25))</f>
        <v/>
      </c>
      <c r="T28" s="5">
        <f>INT(R28/100)*100 + IF(MOD(ROUND(R28,0),100)&lt;25, 0, IF(MOD(ROUND(R28,0),100)&lt;=74, 49, 99))</f>
        <v/>
      </c>
      <c r="U28" s="4">
        <f>IF(S28&lt;300, 0, MIN(99, IF(S28&lt;500, S28*7%, IF(S28&lt;700, S28*12%, S28*15%))))</f>
        <v/>
      </c>
    </row>
    <row r="29">
      <c r="A29" s="6" t="inlineStr">
        <is>
          <t>RN8-SIL-WT-S</t>
        </is>
      </c>
      <c r="B29" s="7" t="inlineStr"/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SUM(J29:P29)</f>
        <v/>
      </c>
      <c r="S29" s="8">
        <f>IF(Q29&lt;300, Q29*1.4, IF(Q29&lt;400, Q29*1.33, Q29*1.25))</f>
        <v/>
      </c>
      <c r="T29" s="9">
        <f>INT(R29/100)*100 + IF(MOD(ROUND(R29,0),100)&lt;25, 0, IF(MOD(ROUND(R29,0),100)&lt;=74, 49, 99))</f>
        <v/>
      </c>
      <c r="U29" s="8">
        <f>IF(S29&lt;300, 0, MIN(99, IF(S29&lt;500, S29*7%, IF(S29&lt;700, S29*12%, S29*15%))))</f>
        <v/>
      </c>
    </row>
    <row r="30">
      <c r="A30" s="2" t="inlineStr">
        <is>
          <t>RN8-SIL-PR-S</t>
        </is>
      </c>
      <c r="B30" s="3" t="inlineStr"/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SUM(J30:P30)</f>
        <v/>
      </c>
      <c r="S30" s="4">
        <f>IF(Q30&lt;300, Q30*1.4, IF(Q30&lt;400, Q30*1.33, Q30*1.25))</f>
        <v/>
      </c>
      <c r="T30" s="5">
        <f>INT(R30/100)*100 + IF(MOD(ROUND(R30,0),100)&lt;25, 0, IF(MOD(ROUND(R30,0),100)&lt;=74, 49, 99))</f>
        <v/>
      </c>
      <c r="U30" s="4">
        <f>IF(S30&lt;300, 0, MIN(99, IF(S30&lt;500, S30*7%, IF(S30&lt;700, S30*12%, S30*15%))))</f>
        <v/>
      </c>
    </row>
    <row r="31">
      <c r="A31" s="6" t="inlineStr">
        <is>
          <t>RN8-SIL-GN-S</t>
        </is>
      </c>
      <c r="B31" s="7" t="inlineStr"/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SUM(J31:P31)</f>
        <v/>
      </c>
      <c r="S31" s="8">
        <f>IF(Q31&lt;300, Q31*1.4, IF(Q31&lt;400, Q31*1.33, Q31*1.25))</f>
        <v/>
      </c>
      <c r="T31" s="9">
        <f>INT(R31/100)*100 + IF(MOD(ROUND(R31,0),100)&lt;25, 0, IF(MOD(ROUND(R31,0),100)&lt;=74, 49, 99))</f>
        <v/>
      </c>
      <c r="U31" s="8">
        <f>IF(S31&lt;300, 0, MIN(99, IF(S31&lt;500, S31*7%, IF(S31&lt;700, S31*12%, S31*15%))))</f>
        <v/>
      </c>
    </row>
    <row r="32">
      <c r="A32" s="2" t="inlineStr">
        <is>
          <t>RN8-SIL-BL-S</t>
        </is>
      </c>
      <c r="B32" s="3" t="inlineStr"/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SUM(J32:P32)</f>
        <v/>
      </c>
      <c r="S32" s="4">
        <f>IF(Q32&lt;300, Q32*1.4, IF(Q32&lt;400, Q32*1.33, Q32*1.25))</f>
        <v/>
      </c>
      <c r="T32" s="5">
        <f>INT(R32/100)*100 + IF(MOD(ROUND(R32,0),100)&lt;25, 0, IF(MOD(ROUND(R32,0),100)&lt;=74, 49, 99))</f>
        <v/>
      </c>
      <c r="U32" s="4">
        <f>IF(S32&lt;300, 0, MIN(99, IF(S32&lt;500, S32*7%, IF(S32&lt;700, S32*12%, S32*15%))))</f>
        <v/>
      </c>
    </row>
    <row r="33">
      <c r="A33" s="6" t="inlineStr">
        <is>
          <t>RN8-SIL-BK-S</t>
        </is>
      </c>
      <c r="B33" s="7" t="inlineStr"/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SUM(J33:P33)</f>
        <v/>
      </c>
      <c r="S33" s="8">
        <f>IF(Q33&lt;300, Q33*1.4, IF(Q33&lt;400, Q33*1.33, Q33*1.25))</f>
        <v/>
      </c>
      <c r="T33" s="9">
        <f>INT(R33/100)*100 + IF(MOD(ROUND(R33,0),100)&lt;25, 0, IF(MOD(ROUND(R33,0),100)&lt;=74, 49, 99))</f>
        <v/>
      </c>
      <c r="U33" s="8">
        <f>IF(S33&lt;300, 0, MIN(99, IF(S33&lt;500, S33*7%, IF(S33&lt;700, S33*12%, S33*15%))))</f>
        <v/>
      </c>
    </row>
    <row r="34">
      <c r="A34" s="2" t="inlineStr">
        <is>
          <t>RN8-SIL-PR-S</t>
        </is>
      </c>
      <c r="B34" s="3" t="inlineStr"/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Silicone/sku/RN8-SIL-PR-S.jpg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SUM(J34:P34)</f>
        <v/>
      </c>
      <c r="S34" s="4">
        <f>IF(Q34&lt;300, Q34*1.4, IF(Q34&lt;400, Q34*1.33, Q34*1.25))</f>
        <v/>
      </c>
      <c r="T34" s="5">
        <f>INT(R34/100)*100 + IF(MOD(ROUND(R34,0),100)&lt;25, 0, IF(MOD(ROUND(R34,0),100)&lt;=74, 49, 99))</f>
        <v/>
      </c>
      <c r="U34" s="4">
        <f>IF(S34&lt;300, 0, MIN(99, IF(S34&lt;500, S34*7%, IF(S34&lt;700, S34*12%, S34*15%))))</f>
        <v/>
      </c>
    </row>
    <row r="35">
      <c r="A35" s="6" t="inlineStr">
        <is>
          <t>RN8-SIL-RD-S</t>
        </is>
      </c>
      <c r="B35" s="7" t="inlineStr"/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SUM(J35:P35)</f>
        <v/>
      </c>
      <c r="S35" s="8">
        <f>IF(Q35&lt;300, Q35*1.4, IF(Q35&lt;400, Q35*1.33, Q35*1.25))</f>
        <v/>
      </c>
      <c r="T35" s="9">
        <f>INT(R35/100)*100 + IF(MOD(ROUND(R35,0),100)&lt;25, 0, IF(MOD(ROUND(R35,0),100)&lt;=74, 49, 99))</f>
        <v/>
      </c>
      <c r="U35" s="8">
        <f>IF(S35&lt;300, 0, MIN(99, IF(S35&lt;500, S35*7%, IF(S35&lt;700, S35*12%, S35*15%))))</f>
        <v/>
      </c>
    </row>
    <row r="36">
      <c r="A36" s="2" t="inlineStr">
        <is>
          <t>RN8-SIL-TL-S</t>
        </is>
      </c>
      <c r="B36" s="3" t="inlineStr"/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SUM(J36:P36)</f>
        <v/>
      </c>
      <c r="S36" s="4">
        <f>IF(Q36&lt;300, Q36*1.4, IF(Q36&lt;400, Q36*1.33, Q36*1.25))</f>
        <v/>
      </c>
      <c r="T36" s="5">
        <f>INT(R36/100)*100 + IF(MOD(ROUND(R36,0),100)&lt;25, 0, IF(MOD(ROUND(R36,0),100)&lt;=74, 49, 99))</f>
        <v/>
      </c>
      <c r="U36" s="4">
        <f>IF(S36&lt;300, 0, MIN(99, IF(S36&lt;500, S36*7%, IF(S36&lt;700, S36*12%, S36*15%))))</f>
        <v/>
      </c>
    </row>
    <row r="37">
      <c r="A37" s="6" t="inlineStr">
        <is>
          <t>RN8-SIL-CL-C</t>
        </is>
      </c>
      <c r="B37" s="7" t="inlineStr"/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SUM(J37:P37)</f>
        <v/>
      </c>
      <c r="S37" s="8">
        <f>IF(Q37&lt;300, Q37*1.4, IF(Q37&lt;400, Q37*1.33, Q37*1.25))</f>
        <v/>
      </c>
      <c r="T37" s="9">
        <f>INT(R37/100)*100 + IF(MOD(ROUND(R37,0),100)&lt;25, 0, IF(MOD(ROUND(R37,0),100)&lt;=74, 49, 99))</f>
        <v/>
      </c>
      <c r="U37" s="8">
        <f>IF(S37&lt;300, 0, MIN(99, IF(S37&lt;500, S37*7%, IF(S37&lt;700, S37*12%, S37*15%))))</f>
        <v/>
      </c>
    </row>
    <row r="38">
      <c r="A38" s="2" t="inlineStr">
        <is>
          <t>RN8-TPU-WT-M</t>
        </is>
      </c>
      <c r="B38" s="3" t="inlineStr"/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SUM(J38:P38)</f>
        <v/>
      </c>
      <c r="S38" s="4">
        <f>IF(Q38&lt;300, Q38*1.4, IF(Q38&lt;400, Q38*1.33, Q38*1.25))</f>
        <v/>
      </c>
      <c r="T38" s="5">
        <f>INT(R38/100)*100 + IF(MOD(ROUND(R38,0),100)&lt;25, 0, IF(MOD(ROUND(R38,0),100)&lt;=74, 49, 99))</f>
        <v/>
      </c>
      <c r="U38" s="4">
        <f>IF(S38&lt;300, 0, MIN(99, IF(S38&lt;500, S38*7%, IF(S38&lt;700, S38*12%, S38*15%))))</f>
        <v/>
      </c>
    </row>
    <row r="39">
      <c r="A39" s="6" t="inlineStr">
        <is>
          <t>RN8-TPU-BK-M</t>
        </is>
      </c>
      <c r="B39" s="7" t="inlineStr"/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SUM(J39:P39)</f>
        <v/>
      </c>
      <c r="S39" s="8">
        <f>IF(Q39&lt;300, Q39*1.4, IF(Q39&lt;400, Q39*1.33, Q39*1.25))</f>
        <v/>
      </c>
      <c r="T39" s="9">
        <f>INT(R39/100)*100 + IF(MOD(ROUND(R39,0),100)&lt;25, 0, IF(MOD(ROUND(R39,0),100)&lt;=74, 49, 99))</f>
        <v/>
      </c>
      <c r="U39" s="8">
        <f>IF(S39&lt;300, 0, MIN(99, IF(S39&lt;500, S39*7%, IF(S39&lt;700, S39*12%, S39*15%))))</f>
        <v/>
      </c>
    </row>
    <row r="40">
      <c r="A40" s="2" t="inlineStr">
        <is>
          <t>H600L-SIL-BK-M</t>
        </is>
      </c>
      <c r="B40" s="3" t="inlineStr"/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SUM(J40:P40)</f>
        <v/>
      </c>
      <c r="S40" s="4">
        <f>IF(Q40&lt;300, Q40*1.4, IF(Q40&lt;400, Q40*1.33, Q40*1.25))</f>
        <v/>
      </c>
      <c r="T40" s="5">
        <f>INT(R40/100)*100 + IF(MOD(ROUND(R40,0),100)&lt;25, 0, IF(MOD(ROUND(R40,0),100)&lt;=74, 49, 99))</f>
        <v/>
      </c>
      <c r="U40" s="4">
        <f>IF(S40&lt;300, 0, MIN(99, IF(S40&lt;500, S40*7%, IF(S40&lt;700, S40*12%, S40*15%))))</f>
        <v/>
      </c>
    </row>
    <row r="41">
      <c r="A41" s="6" t="inlineStr">
        <is>
          <t>H600L-SIL-BL-M</t>
        </is>
      </c>
      <c r="B41" s="7" t="inlineStr"/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SUM(J41:P41)</f>
        <v/>
      </c>
      <c r="S41" s="8">
        <f>IF(Q41&lt;300, Q41*1.4, IF(Q41&lt;400, Q41*1.33, Q41*1.25))</f>
        <v/>
      </c>
      <c r="T41" s="9">
        <f>INT(R41/100)*100 + IF(MOD(ROUND(R41,0),100)&lt;25, 0, IF(MOD(ROUND(R41,0),100)&lt;=74, 49, 99))</f>
        <v/>
      </c>
      <c r="U41" s="8">
        <f>IF(S41&lt;300, 0, MIN(99, IF(S41&lt;500, S41*7%, IF(S41&lt;700, S41*12%, S41*15%))))</f>
        <v/>
      </c>
    </row>
    <row r="42">
      <c r="A42" s="2" t="inlineStr">
        <is>
          <t>H600L-SIL-GN-M</t>
        </is>
      </c>
      <c r="B42" s="3" t="inlineStr"/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SUM(J42:P42)</f>
        <v/>
      </c>
      <c r="S42" s="4">
        <f>IF(Q42&lt;300, Q42*1.4, IF(Q42&lt;400, Q42*1.33, Q42*1.25))</f>
        <v/>
      </c>
      <c r="T42" s="5">
        <f>INT(R42/100)*100 + IF(MOD(ROUND(R42,0),100)&lt;25, 0, IF(MOD(ROUND(R42,0),100)&lt;=74, 49, 99))</f>
        <v/>
      </c>
      <c r="U42" s="4">
        <f>IF(S42&lt;300, 0, MIN(99, IF(S42&lt;500, S42*7%, IF(S42&lt;700, S42*12%, S42*15%))))</f>
        <v/>
      </c>
    </row>
    <row r="43">
      <c r="A43" s="6" t="inlineStr">
        <is>
          <t>H600L-SIL-RD-M</t>
        </is>
      </c>
      <c r="B43" s="7" t="inlineStr"/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SUM(J43:P43)</f>
        <v/>
      </c>
      <c r="S43" s="8">
        <f>IF(Q43&lt;300, Q43*1.4, IF(Q43&lt;400, Q43*1.33, Q43*1.25))</f>
        <v/>
      </c>
      <c r="T43" s="9">
        <f>INT(R43/100)*100 + IF(MOD(ROUND(R43,0),100)&lt;25, 0, IF(MOD(ROUND(R43,0),100)&lt;=74, 49, 99))</f>
        <v/>
      </c>
      <c r="U43" s="8">
        <f>IF(S43&lt;300, 0, MIN(99, IF(S43&lt;500, S43*7%, IF(S43&lt;700, S43*12%, S43*15%))))</f>
        <v/>
      </c>
    </row>
    <row r="44">
      <c r="A44" s="2" t="inlineStr">
        <is>
          <t>HX80I-TPU-SV-E</t>
        </is>
      </c>
      <c r="B44" s="3" t="inlineStr"/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SUM(J44:P44)</f>
        <v/>
      </c>
      <c r="S44" s="4">
        <f>IF(Q44&lt;300, Q44*1.4, IF(Q44&lt;400, Q44*1.33, Q44*1.25))</f>
        <v/>
      </c>
      <c r="T44" s="5">
        <f>INT(R44/100)*100 + IF(MOD(ROUND(R44,0),100)&lt;25, 0, IF(MOD(ROUND(R44,0),100)&lt;=74, 49, 99))</f>
        <v/>
      </c>
      <c r="U44" s="4">
        <f>IF(S44&lt;300, 0, MIN(99, IF(S44&lt;500, S44*7%, IF(S44&lt;700, S44*12%, S44*15%))))</f>
        <v/>
      </c>
    </row>
    <row r="45">
      <c r="A45" s="6" t="inlineStr">
        <is>
          <t>HX80I-TPU-BK-E</t>
        </is>
      </c>
      <c r="B45" s="7" t="inlineStr"/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SUM(J45:P45)</f>
        <v/>
      </c>
      <c r="S45" s="8">
        <f>IF(Q45&lt;300, Q45*1.4, IF(Q45&lt;400, Q45*1.33, Q45*1.25))</f>
        <v/>
      </c>
      <c r="T45" s="9">
        <f>INT(R45/100)*100 + IF(MOD(ROUND(R45,0),100)&lt;25, 0, IF(MOD(ROUND(R45,0),100)&lt;=74, 49, 99))</f>
        <v/>
      </c>
      <c r="U45" s="8">
        <f>IF(S45&lt;300, 0, MIN(99, IF(S45&lt;500, S45*7%, IF(S45&lt;700, S45*12%, S45*15%))))</f>
        <v/>
      </c>
    </row>
    <row r="46">
      <c r="A46" s="2" t="inlineStr">
        <is>
          <t>HX80I-TPU-PR-E</t>
        </is>
      </c>
      <c r="B46" s="3" t="inlineStr"/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SUM(J46:P46)</f>
        <v/>
      </c>
      <c r="S46" s="4">
        <f>IF(Q46&lt;300, Q46*1.4, IF(Q46&lt;400, Q46*1.33, Q46*1.25))</f>
        <v/>
      </c>
      <c r="T46" s="5">
        <f>INT(R46/100)*100 + IF(MOD(ROUND(R46,0),100)&lt;25, 0, IF(MOD(ROUND(R46,0),100)&lt;=74, 49, 99))</f>
        <v/>
      </c>
      <c r="U46" s="4">
        <f>IF(S46&lt;300, 0, MIN(99, IF(S46&lt;500, S46*7%, IF(S46&lt;700, S46*12%, S46*15%))))</f>
        <v/>
      </c>
    </row>
    <row r="47">
      <c r="A47" s="6" t="inlineStr">
        <is>
          <t>HX80I-TPU-BL-E</t>
        </is>
      </c>
      <c r="B47" s="7" t="inlineStr"/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SUM(J47:P47)</f>
        <v/>
      </c>
      <c r="S47" s="8">
        <f>IF(Q47&lt;300, Q47*1.4, IF(Q47&lt;400, Q47*1.33, Q47*1.25))</f>
        <v/>
      </c>
      <c r="T47" s="9">
        <f>INT(R47/100)*100 + IF(MOD(ROUND(R47,0),100)&lt;25, 0, IF(MOD(ROUND(R47,0),100)&lt;=74, 49, 99))</f>
        <v/>
      </c>
      <c r="U47" s="8">
        <f>IF(S47&lt;300, 0, MIN(99, IF(S47&lt;500, S47*7%, IF(S47&lt;700, S47*12%, S47*15%))))</f>
        <v/>
      </c>
    </row>
    <row r="48">
      <c r="A48" s="2" t="inlineStr">
        <is>
          <t>HX80I-TPU-PK-E</t>
        </is>
      </c>
      <c r="B48" s="3" t="inlineStr"/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SUM(J48:P48)</f>
        <v/>
      </c>
      <c r="S48" s="4">
        <f>IF(Q48&lt;300, Q48*1.4, IF(Q48&lt;400, Q48*1.33, Q48*1.25))</f>
        <v/>
      </c>
      <c r="T48" s="5">
        <f>INT(R48/100)*100 + IF(MOD(ROUND(R48,0),100)&lt;25, 0, IF(MOD(ROUND(R48,0),100)&lt;=74, 49, 99))</f>
        <v/>
      </c>
      <c r="U48" s="4">
        <f>IF(S48&lt;300, 0, MIN(99, IF(S48&lt;500, S48*7%, IF(S48&lt;700, S48*12%, S48*15%))))</f>
        <v/>
      </c>
    </row>
    <row r="49">
      <c r="A49" s="6" t="inlineStr">
        <is>
          <t>HX80I-TPU-GN-E</t>
        </is>
      </c>
      <c r="B49" s="7" t="inlineStr"/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SUM(J49:P49)</f>
        <v/>
      </c>
      <c r="S49" s="8">
        <f>IF(Q49&lt;300, Q49*1.4, IF(Q49&lt;400, Q49*1.33, Q49*1.25))</f>
        <v/>
      </c>
      <c r="T49" s="9">
        <f>INT(R49/100)*100 + IF(MOD(ROUND(R49,0),100)&lt;25, 0, IF(MOD(ROUND(R49,0),100)&lt;=74, 49, 99))</f>
        <v/>
      </c>
      <c r="U49" s="8">
        <f>IF(S49&lt;300, 0, MIN(99, IF(S49&lt;500, S49*7%, IF(S49&lt;700, S49*12%, S49*15%))))</f>
        <v/>
      </c>
    </row>
    <row r="50">
      <c r="A50" s="2" t="inlineStr">
        <is>
          <t>HX80I-PC-GY-M</t>
        </is>
      </c>
      <c r="B50" s="3" t="inlineStr"/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SUM(J50:P50)</f>
        <v/>
      </c>
      <c r="S50" s="4">
        <f>IF(Q50&lt;300, Q50*1.4, IF(Q50&lt;400, Q50*1.33, Q50*1.25))</f>
        <v/>
      </c>
      <c r="T50" s="5">
        <f>INT(R50/100)*100 + IF(MOD(ROUND(R50,0),100)&lt;25, 0, IF(MOD(ROUND(R50,0),100)&lt;=74, 49, 99))</f>
        <v/>
      </c>
      <c r="U50" s="4">
        <f>IF(S50&lt;300, 0, MIN(99, IF(S50&lt;500, S50*7%, IF(S50&lt;700, S50*12%, S50*15%))))</f>
        <v/>
      </c>
    </row>
    <row r="51">
      <c r="A51" s="6" t="inlineStr">
        <is>
          <t>HX80I-PC-WT-M</t>
        </is>
      </c>
      <c r="B51" s="7" t="inlineStr"/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SUM(J51:P51)</f>
        <v/>
      </c>
      <c r="S51" s="8">
        <f>IF(Q51&lt;300, Q51*1.4, IF(Q51&lt;400, Q51*1.33, Q51*1.25))</f>
        <v/>
      </c>
      <c r="T51" s="9">
        <f>INT(R51/100)*100 + IF(MOD(ROUND(R51,0),100)&lt;25, 0, IF(MOD(ROUND(R51,0),100)&lt;=74, 49, 99))</f>
        <v/>
      </c>
      <c r="U51" s="8">
        <f>IF(S51&lt;300, 0, MIN(99, IF(S51&lt;500, S51*7%, IF(S51&lt;700, S51*12%, S51*15%))))</f>
        <v/>
      </c>
    </row>
    <row r="52">
      <c r="A52" s="2" t="inlineStr">
        <is>
          <t>HX80I-PC-GN-M</t>
        </is>
      </c>
      <c r="B52" s="3" t="inlineStr"/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SUM(J52:P52)</f>
        <v/>
      </c>
      <c r="S52" s="4">
        <f>IF(Q52&lt;300, Q52*1.4, IF(Q52&lt;400, Q52*1.33, Q52*1.25))</f>
        <v/>
      </c>
      <c r="T52" s="5">
        <f>INT(R52/100)*100 + IF(MOD(ROUND(R52,0),100)&lt;25, 0, IF(MOD(ROUND(R52,0),100)&lt;=74, 49, 99))</f>
        <v/>
      </c>
      <c r="U52" s="4">
        <f>IF(S52&lt;300, 0, MIN(99, IF(S52&lt;500, S52*7%, IF(S52&lt;700, S52*12%, S52*15%))))</f>
        <v/>
      </c>
    </row>
    <row r="53">
      <c r="A53" s="6" t="inlineStr">
        <is>
          <t>HX80I-PC-GD-M</t>
        </is>
      </c>
      <c r="B53" s="7" t="inlineStr"/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SUM(J53:P53)</f>
        <v/>
      </c>
      <c r="S53" s="8">
        <f>IF(Q53&lt;300, Q53*1.4, IF(Q53&lt;400, Q53*1.33, Q53*1.25))</f>
        <v/>
      </c>
      <c r="T53" s="9">
        <f>INT(R53/100)*100 + IF(MOD(ROUND(R53,0),100)&lt;25, 0, IF(MOD(ROUND(R53,0),100)&lt;=74, 49, 99))</f>
        <v/>
      </c>
      <c r="U53" s="8">
        <f>IF(S53&lt;300, 0, MIN(99, IF(S53&lt;500, S53*7%, IF(S53&lt;700, S53*12%, S53*15%))))</f>
        <v/>
      </c>
    </row>
    <row r="54">
      <c r="A54" s="2" t="inlineStr">
        <is>
          <t>HX80I-PC-BK-M</t>
        </is>
      </c>
      <c r="B54" s="3" t="inlineStr"/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SUM(J54:P54)</f>
        <v/>
      </c>
      <c r="S54" s="4">
        <f>IF(Q54&lt;300, Q54*1.4, IF(Q54&lt;400, Q54*1.33, Q54*1.25))</f>
        <v/>
      </c>
      <c r="T54" s="5">
        <f>INT(R54/100)*100 + IF(MOD(ROUND(R54,0),100)&lt;25, 0, IF(MOD(ROUND(R54,0),100)&lt;=74, 49, 99))</f>
        <v/>
      </c>
      <c r="U54" s="4">
        <f>IF(S54&lt;300, 0, MIN(99, IF(S54&lt;500, S54*7%, IF(S54&lt;700, S54*12%, S54*15%))))</f>
        <v/>
      </c>
    </row>
    <row r="55">
      <c r="A55" s="6" t="inlineStr">
        <is>
          <t>H600L-PC-GY-M</t>
        </is>
      </c>
      <c r="B55" s="7" t="inlineStr"/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SUM(J55:P55)</f>
        <v/>
      </c>
      <c r="S55" s="8">
        <f>IF(Q55&lt;300, Q55*1.4, IF(Q55&lt;400, Q55*1.33, Q55*1.25))</f>
        <v/>
      </c>
      <c r="T55" s="9">
        <f>INT(R55/100)*100 + IF(MOD(ROUND(R55,0),100)&lt;25, 0, IF(MOD(ROUND(R55,0),100)&lt;=74, 49, 99))</f>
        <v/>
      </c>
      <c r="U55" s="8">
        <f>IF(S55&lt;300, 0, MIN(99, IF(S55&lt;500, S55*7%, IF(S55&lt;700, S55*12%, S55*15%))))</f>
        <v/>
      </c>
    </row>
    <row r="56">
      <c r="A56" s="2" t="inlineStr">
        <is>
          <t>H600L-PC-WT-M</t>
        </is>
      </c>
      <c r="B56" s="3" t="inlineStr"/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SUM(J56:P56)</f>
        <v/>
      </c>
      <c r="S56" s="4">
        <f>IF(Q56&lt;300, Q56*1.4, IF(Q56&lt;400, Q56*1.33, Q56*1.25))</f>
        <v/>
      </c>
      <c r="T56" s="5">
        <f>INT(R56/100)*100 + IF(MOD(ROUND(R56,0),100)&lt;25, 0, IF(MOD(ROUND(R56,0),100)&lt;=74, 49, 99))</f>
        <v/>
      </c>
      <c r="U56" s="4">
        <f>IF(S56&lt;300, 0, MIN(99, IF(S56&lt;500, S56*7%, IF(S56&lt;700, S56*12%, S56*15%))))</f>
        <v/>
      </c>
    </row>
    <row r="57">
      <c r="A57" s="6" t="inlineStr">
        <is>
          <t>H600L-PC-GN-M</t>
        </is>
      </c>
      <c r="B57" s="7" t="inlineStr"/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SUM(J57:P57)</f>
        <v/>
      </c>
      <c r="S57" s="8">
        <f>IF(Q57&lt;300, Q57*1.4, IF(Q57&lt;400, Q57*1.33, Q57*1.25))</f>
        <v/>
      </c>
      <c r="T57" s="9">
        <f>INT(R57/100)*100 + IF(MOD(ROUND(R57,0),100)&lt;25, 0, IF(MOD(ROUND(R57,0),100)&lt;=74, 49, 99))</f>
        <v/>
      </c>
      <c r="U57" s="8">
        <f>IF(S57&lt;300, 0, MIN(99, IF(S57&lt;500, S57*7%, IF(S57&lt;700, S57*12%, S57*15%))))</f>
        <v/>
      </c>
    </row>
    <row r="58">
      <c r="A58" s="2" t="inlineStr">
        <is>
          <t>H600L-PC-GD-M</t>
        </is>
      </c>
      <c r="B58" s="3" t="inlineStr"/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SUM(J58:P58)</f>
        <v/>
      </c>
      <c r="S58" s="4">
        <f>IF(Q58&lt;300, Q58*1.4, IF(Q58&lt;400, Q58*1.33, Q58*1.25))</f>
        <v/>
      </c>
      <c r="T58" s="5">
        <f>INT(R58/100)*100 + IF(MOD(ROUND(R58,0),100)&lt;25, 0, IF(MOD(ROUND(R58,0),100)&lt;=74, 49, 99))</f>
        <v/>
      </c>
      <c r="U58" s="4">
        <f>IF(S58&lt;300, 0, MIN(99, IF(S58&lt;500, S58*7%, IF(S58&lt;700, S58*12%, S58*15%))))</f>
        <v/>
      </c>
    </row>
    <row r="59">
      <c r="A59" s="6" t="inlineStr">
        <is>
          <t>H600L-PC-BK-M</t>
        </is>
      </c>
      <c r="B59" s="7" t="inlineStr"/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SUM(J59:P59)</f>
        <v/>
      </c>
      <c r="S59" s="8">
        <f>IF(Q59&lt;300, Q59*1.4, IF(Q59&lt;400, Q59*1.33, Q59*1.25))</f>
        <v/>
      </c>
      <c r="T59" s="9">
        <f>INT(R59/100)*100 + IF(MOD(ROUND(R59,0),100)&lt;25, 0, IF(MOD(ROUND(R59,0),100)&lt;=74, 49, 99))</f>
        <v/>
      </c>
      <c r="U59" s="8">
        <f>IF(S59&lt;300, 0, MIN(99, IF(S59&lt;500, S59*7%, IF(S59&lt;700, S59*12%, S59*15%))))</f>
        <v/>
      </c>
    </row>
    <row r="60">
      <c r="A60" s="2" t="inlineStr">
        <is>
          <t>RN8-PC-RK-M</t>
        </is>
      </c>
      <c r="B60" s="3" t="inlineStr"/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SUM(J60:P60)</f>
        <v/>
      </c>
      <c r="S60" s="4">
        <f>IF(Q60&lt;300, Q60*1.4, IF(Q60&lt;400, Q60*1.33, Q60*1.25))</f>
        <v/>
      </c>
      <c r="T60" s="5">
        <f>INT(R60/100)*100 + IF(MOD(ROUND(R60,0),100)&lt;25, 0, IF(MOD(ROUND(R60,0),100)&lt;=74, 49, 99))</f>
        <v/>
      </c>
      <c r="U60" s="4">
        <f>IF(S60&lt;300, 0, MIN(99, IF(S60&lt;500, S60*7%, IF(S60&lt;700, S60*12%, S60*15%))))</f>
        <v/>
      </c>
    </row>
    <row r="61">
      <c r="A61" s="6" t="inlineStr">
        <is>
          <t>RN8-PC-GD-M</t>
        </is>
      </c>
      <c r="B61" s="7" t="inlineStr"/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SUM(J61:P61)</f>
        <v/>
      </c>
      <c r="S61" s="8">
        <f>IF(Q61&lt;300, Q61*1.4, IF(Q61&lt;400, Q61*1.33, Q61*1.25))</f>
        <v/>
      </c>
      <c r="T61" s="9">
        <f>INT(R61/100)*100 + IF(MOD(ROUND(R61,0),100)&lt;25, 0, IF(MOD(ROUND(R61,0),100)&lt;=74, 49, 99))</f>
        <v/>
      </c>
      <c r="U61" s="8">
        <f>IF(S61&lt;300, 0, MIN(99, IF(S61&lt;500, S61*7%, IF(S61&lt;700, S61*12%, S61*15%))))</f>
        <v/>
      </c>
    </row>
    <row r="62">
      <c r="A62" s="2" t="inlineStr">
        <is>
          <t>RN8-PC-BL-M</t>
        </is>
      </c>
      <c r="B62" s="3" t="inlineStr"/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SUM(J62:P62)</f>
        <v/>
      </c>
      <c r="S62" s="4">
        <f>IF(Q62&lt;300, Q62*1.4, IF(Q62&lt;400, Q62*1.33, Q62*1.25))</f>
        <v/>
      </c>
      <c r="T62" s="5">
        <f>INT(R62/100)*100 + IF(MOD(ROUND(R62,0),100)&lt;25, 0, IF(MOD(ROUND(R62,0),100)&lt;=74, 49, 99))</f>
        <v/>
      </c>
      <c r="U62" s="4">
        <f>IF(S62&lt;300, 0, MIN(99, IF(S62&lt;500, S62*7%, IF(S62&lt;700, S62*12%, S62*15%))))</f>
        <v/>
      </c>
    </row>
    <row r="63">
      <c r="A63" s="6" t="inlineStr">
        <is>
          <t>RN8-PC-PK-M</t>
        </is>
      </c>
      <c r="B63" s="7" t="inlineStr"/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SUM(J63:P63)</f>
        <v/>
      </c>
      <c r="S63" s="8">
        <f>IF(Q63&lt;300, Q63*1.4, IF(Q63&lt;400, Q63*1.33, Q63*1.25))</f>
        <v/>
      </c>
      <c r="T63" s="9">
        <f>INT(R63/100)*100 + IF(MOD(ROUND(R63,0),100)&lt;25, 0, IF(MOD(ROUND(R63,0),100)&lt;=74, 49, 99))</f>
        <v/>
      </c>
      <c r="U63" s="8">
        <f>IF(S63&lt;300, 0, MIN(99, IF(S63&lt;500, S63*7%, IF(S63&lt;700, S63*12%, S63*15%))))</f>
        <v/>
      </c>
    </row>
    <row r="64">
      <c r="A64" s="2" t="inlineStr">
        <is>
          <t>RN8-PC-CG-M</t>
        </is>
      </c>
      <c r="B64" s="3" t="inlineStr"/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SUM(J64:P64)</f>
        <v/>
      </c>
      <c r="S64" s="4">
        <f>IF(Q64&lt;300, Q64*1.4, IF(Q64&lt;400, Q64*1.33, Q64*1.25))</f>
        <v/>
      </c>
      <c r="T64" s="5">
        <f>INT(R64/100)*100 + IF(MOD(ROUND(R64,0),100)&lt;25, 0, IF(MOD(ROUND(R64,0),100)&lt;=74, 49, 99))</f>
        <v/>
      </c>
      <c r="U64" s="4">
        <f>IF(S64&lt;300, 0, MIN(99, IF(S64&lt;500, S64*7%, IF(S64&lt;700, S64*12%, S64*15%))))</f>
        <v/>
      </c>
    </row>
    <row r="65">
      <c r="A65" s="6" t="inlineStr">
        <is>
          <t>RN8-PC-PR-M</t>
        </is>
      </c>
      <c r="B65" s="7" t="inlineStr"/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SUM(J65:P65)</f>
        <v/>
      </c>
      <c r="S65" s="8">
        <f>IF(Q65&lt;300, Q65*1.4, IF(Q65&lt;400, Q65*1.33, Q65*1.25))</f>
        <v/>
      </c>
      <c r="T65" s="9">
        <f>INT(R65/100)*100 + IF(MOD(ROUND(R65,0),100)&lt;25, 0, IF(MOD(ROUND(R65,0),100)&lt;=74, 49, 99))</f>
        <v/>
      </c>
      <c r="U65" s="8">
        <f>IF(S65&lt;300, 0, MIN(99, IF(S65&lt;500, S65*7%, IF(S65&lt;700, S65*12%, S65*15%))))</f>
        <v/>
      </c>
    </row>
    <row r="66">
      <c r="A66" s="2" t="inlineStr">
        <is>
          <t>RN8-PC-TG-M</t>
        </is>
      </c>
      <c r="B66" s="3" t="inlineStr"/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SUM(J66:P66)</f>
        <v/>
      </c>
      <c r="S66" s="4">
        <f>IF(Q66&lt;300, Q66*1.4, IF(Q66&lt;400, Q66*1.33, Q66*1.25))</f>
        <v/>
      </c>
      <c r="T66" s="5">
        <f>INT(R66/100)*100 + IF(MOD(ROUND(R66,0),100)&lt;25, 0, IF(MOD(ROUND(R66,0),100)&lt;=74, 49, 99))</f>
        <v/>
      </c>
      <c r="U66" s="4">
        <f>IF(S66&lt;300, 0, MIN(99, IF(S66&lt;500, S66*7%, IF(S66&lt;700, S66*12%, S66*15%))))</f>
        <v/>
      </c>
    </row>
    <row r="67">
      <c r="A67" s="6" t="inlineStr">
        <is>
          <t>RN8-PC-BK-M</t>
        </is>
      </c>
      <c r="B67" s="7" t="inlineStr"/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SUM(J67:P67)</f>
        <v/>
      </c>
      <c r="S67" s="8">
        <f>IF(Q67&lt;300, Q67*1.4, IF(Q67&lt;400, Q67*1.33, Q67*1.25))</f>
        <v/>
      </c>
      <c r="T67" s="9">
        <f>INT(R67/100)*100 + IF(MOD(ROUND(R67,0),100)&lt;25, 0, IF(MOD(ROUND(R67,0),100)&lt;=74, 49, 99))</f>
        <v/>
      </c>
      <c r="U67" s="8">
        <f>IF(S67&lt;300, 0, MIN(99, IF(S67&lt;500, S67*7%, IF(S67&lt;700, S67*12%, S67*15%))))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2026-10-18T18:00:08Z</dcterms:created>
  <dcterms:modified xsi:type="dcterms:W3CDTF">2026-10-18T18:00:08Z</dcterms:modified>
</cp:coreProperties>
</file>