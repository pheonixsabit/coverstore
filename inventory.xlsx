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Camera Lens Protection Soft Anti-Drop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Camera Lens Protection Soft Anti-Drop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  <row r="80">
      <c r="A80" s="2" t="inlineStr">
        <is>
          <t>RN8-PC-BK-S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Black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Link</t>
        </is>
      </c>
      <c r="I80" s="3" t="inlineStr">
        <is>
          <t>https://moveon.global/BD_en/products/0000000E102ORKG6-suitable-for-oppo-find-x9-ultra-corrugated-metal-paint-phone-case-reno-16-metal-button-case-realme-gt8-hard-case/1AD8372161823684</t>
        </is>
      </c>
      <c r="J80" s="3" t="inlineStr">
        <is>
          <t>Realme Neo8/Hard PC/sku/RN8-PC-BK-S.jpg</t>
        </is>
      </c>
      <c r="K80" s="4" t="n">
        <v>147.74</v>
      </c>
      <c r="L80" s="4" t="n">
        <v>50</v>
      </c>
      <c r="M80" s="4" t="n">
        <v>62.4</v>
      </c>
      <c r="N80" s="4" t="n">
        <v>5</v>
      </c>
      <c r="O80" s="4" t="n">
        <v>11.5</v>
      </c>
      <c r="P80" s="4" t="n">
        <v>20</v>
      </c>
      <c r="Q80" s="4" t="n">
        <v>0</v>
      </c>
      <c r="R80" s="4">
        <f>SUM(K80:Q80)</f>
        <v/>
      </c>
      <c r="S80" s="4">
        <f>IF(R80&lt;300, R80*1.4, IF(R80&lt;400, R80*1.33, R80*1.25))</f>
        <v/>
      </c>
      <c r="T80" s="5">
        <f>INT(S80/100)*100 + IF(MOD(ROUND(S80,0),100)&lt;25, 0, IF(MOD(ROUND(S80,0),100)&lt;=74, 49, 99))</f>
        <v/>
      </c>
      <c r="U80" s="4">
        <f>IF(T80&lt;300, 0, MIN(99, IF(T80&lt;500, T80*7%, IF(T80&lt;700, T80*12%, T80*15%))))</f>
        <v/>
      </c>
    </row>
    <row r="81">
      <c r="A81" s="6" t="inlineStr">
        <is>
          <t>RN8-PC-SV-S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Silver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Link</t>
        </is>
      </c>
      <c r="I81" s="7" t="inlineStr">
        <is>
          <t>https://moveon.global/BD_en/products/0000000E102ORKG6-suitable-for-oppo-find-x9-ultra-corrugated-metal-paint-phone-case-reno-16-metal-button-case-realme-gt8-hard-case/1AD8372161823684</t>
        </is>
      </c>
      <c r="J81" s="7" t="inlineStr">
        <is>
          <t>Realme Neo8/Hard PC/sku/RN8-PC-SV-S.jpg</t>
        </is>
      </c>
      <c r="K81" s="8" t="n">
        <v>147.74</v>
      </c>
      <c r="L81" s="8" t="n">
        <v>50</v>
      </c>
      <c r="M81" s="8" t="n">
        <v>62.4</v>
      </c>
      <c r="N81" s="8" t="n">
        <v>5</v>
      </c>
      <c r="O81" s="8" t="n">
        <v>11.5</v>
      </c>
      <c r="P81" s="8" t="n">
        <v>20</v>
      </c>
      <c r="Q81" s="8" t="n">
        <v>0</v>
      </c>
      <c r="R81" s="8">
        <f>SUM(K81:Q81)</f>
        <v/>
      </c>
      <c r="S81" s="8">
        <f>IF(R81&lt;300, R81*1.4, IF(R81&lt;400, R81*1.33, R81*1.25))</f>
        <v/>
      </c>
      <c r="T81" s="9">
        <f>INT(S81/100)*100 + IF(MOD(ROUND(S81,0),100)&lt;25, 0, IF(MOD(ROUND(S81,0),100)&lt;=74, 49, 99))</f>
        <v/>
      </c>
      <c r="U81" s="8">
        <f>IF(T81&lt;300, 0, MIN(99, IF(T81&lt;500, T81*7%, IF(T81&lt;700, T81*12%, T81*15%))))</f>
        <v/>
      </c>
    </row>
    <row r="82">
      <c r="A82" s="2" t="inlineStr">
        <is>
          <t>RN8-PC-CL-C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Transparent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Link</t>
        </is>
      </c>
      <c r="I82" s="3" t="inlineStr">
        <is>
          <t>https://moveon.global/BD_en/products/0000000E102ORKG6-suitable-for-oppo-find-x9-ultra-corrugated-metal-paint-phone-case-reno-16-metal-button-case-realme-gt8-hard-case/1AD8372161823684</t>
        </is>
      </c>
      <c r="J82" s="3" t="inlineStr">
        <is>
          <t>Realme Neo8/Hard PC/sku/RN8-PC-CL-C.jpg</t>
        </is>
      </c>
      <c r="K82" s="4" t="n">
        <v>113.64</v>
      </c>
      <c r="L82" s="4" t="n">
        <v>50</v>
      </c>
      <c r="M82" s="4" t="n">
        <v>62.4</v>
      </c>
      <c r="N82" s="4" t="n">
        <v>5</v>
      </c>
      <c r="O82" s="4" t="n">
        <v>11.5</v>
      </c>
      <c r="P82" s="4" t="n">
        <v>20</v>
      </c>
      <c r="Q82" s="4" t="n">
        <v>0</v>
      </c>
      <c r="R82" s="4">
        <f>SUM(K82:Q82)</f>
        <v/>
      </c>
      <c r="S82" s="4">
        <f>IF(R82&lt;300, R82*1.4, IF(R82&lt;400, R82*1.33, R82*1.25))</f>
        <v/>
      </c>
      <c r="T82" s="5">
        <f>INT(S82/100)*100 + IF(MOD(ROUND(S82,0),100)&lt;25, 0, IF(MOD(ROUND(S82,0),100)&lt;=74, 49, 99))</f>
        <v/>
      </c>
      <c r="U82" s="4">
        <f>IF(T82&lt;300, 0, MIN(99, IF(T82&lt;500, T82*7%, IF(T82&lt;700, T82*12%, T82*15%))))</f>
        <v/>
      </c>
    </row>
    <row r="83">
      <c r="A83" s="6" t="inlineStr">
        <is>
          <t>RN8-PC-RD-S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Burgundy Red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Link</t>
        </is>
      </c>
      <c r="I83" s="7" t="inlineStr">
        <is>
          <t>https://moveon.global/BD_en/products/0000000E102ORKG6-suitable-for-oppo-find-x9-ultra-corrugated-metal-paint-phone-case-reno-16-metal-button-case-realme-gt8-hard-case/1AD8372161823684</t>
        </is>
      </c>
      <c r="J83" s="7" t="inlineStr">
        <is>
          <t>Realme Neo8/Hard PC/sku/RN8-PC-RD-S.jpg</t>
        </is>
      </c>
      <c r="K83" s="8" t="n">
        <v>147.74</v>
      </c>
      <c r="L83" s="8" t="n">
        <v>50</v>
      </c>
      <c r="M83" s="8" t="n">
        <v>62.4</v>
      </c>
      <c r="N83" s="8" t="n">
        <v>5</v>
      </c>
      <c r="O83" s="8" t="n">
        <v>11.5</v>
      </c>
      <c r="P83" s="8" t="n">
        <v>20</v>
      </c>
      <c r="Q83" s="8" t="n">
        <v>0</v>
      </c>
      <c r="R83" s="8">
        <f>SUM(K83:Q83)</f>
        <v/>
      </c>
      <c r="S83" s="8">
        <f>IF(R83&lt;300, R83*1.4, IF(R83&lt;400, R83*1.33, R83*1.25))</f>
        <v/>
      </c>
      <c r="T83" s="9">
        <f>INT(S83/100)*100 + IF(MOD(ROUND(S83,0),100)&lt;25, 0, IF(MOD(ROUND(S83,0),100)&lt;=74, 49, 99))</f>
        <v/>
      </c>
      <c r="U83" s="8">
        <f>IF(T83&lt;300, 0, MIN(99, IF(T83&lt;500, T83*7%, IF(T83&lt;700, T83*12%, T83*15%))))</f>
        <v/>
      </c>
    </row>
    <row r="84">
      <c r="A84" s="2" t="inlineStr">
        <is>
          <t>RN8-PC-TB-S</t>
        </is>
      </c>
      <c r="B84" s="3" t="inlineStr">
        <is>
          <t>Corrugated Metallic Paint Hard Case with Metal Buttons for Realme GT Neo 8 – Luxury Shockproof Anti-Drop Protective Back Cover</t>
        </is>
      </c>
      <c r="C84" s="3" t="inlineStr">
        <is>
          <t>Suitable for Oppo Find X9 Ultra corrugated metal paint phone case, Reno 16 metal button case, Realme GT8 hard case</t>
        </is>
      </c>
      <c r="D84" s="2" t="inlineStr">
        <is>
          <t>Hard PC</t>
        </is>
      </c>
      <c r="E84" s="2" t="inlineStr">
        <is>
          <t>Titanium Black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Link</t>
        </is>
      </c>
      <c r="I84" s="3" t="inlineStr">
        <is>
          <t>https://moveon.global/BD_en/products/0000000E102ORKG6-suitable-for-oppo-find-x9-ultra-corrugated-metal-paint-phone-case-reno-16-metal-button-case-realme-gt8-hard-case/1AD8372161823684</t>
        </is>
      </c>
      <c r="J84" s="3" t="inlineStr">
        <is>
          <t>Realme Neo8/Hard PC/sku/RN8-PC-TB-S.jpg</t>
        </is>
      </c>
      <c r="K84" s="4" t="n">
        <v>147.74</v>
      </c>
      <c r="L84" s="4" t="n">
        <v>50</v>
      </c>
      <c r="M84" s="4" t="n">
        <v>62.4</v>
      </c>
      <c r="N84" s="4" t="n">
        <v>5</v>
      </c>
      <c r="O84" s="4" t="n">
        <v>11.5</v>
      </c>
      <c r="P84" s="4" t="n">
        <v>20</v>
      </c>
      <c r="Q84" s="4" t="n">
        <v>0</v>
      </c>
      <c r="R84" s="4">
        <f>SUM(K84:Q84)</f>
        <v/>
      </c>
      <c r="S84" s="4">
        <f>IF(R84&lt;300, R84*1.4, IF(R84&lt;400, R84*1.33, R84*1.25))</f>
        <v/>
      </c>
      <c r="T84" s="5">
        <f>INT(S84/100)*100 + IF(MOD(ROUND(S84,0),100)&lt;25, 0, IF(MOD(ROUND(S84,0),100)&lt;=74, 49, 99))</f>
        <v/>
      </c>
      <c r="U84" s="4">
        <f>IF(T84&lt;300, 0, MIN(99, IF(T84&lt;500, T84*7%, IF(T84&lt;700, T84*12%, T84*15%))))</f>
        <v/>
      </c>
    </row>
    <row r="85">
      <c r="A85" s="6" t="inlineStr">
        <is>
          <t>RN8-PC-GD-S</t>
        </is>
      </c>
      <c r="B85" s="7" t="inlineStr">
        <is>
          <t>Corrugated Metallic Paint Hard Case with Metal Buttons for Realme GT Neo 8 – Luxury Shockproof Anti-Drop Protective Back Cover</t>
        </is>
      </c>
      <c r="C85" s="7" t="inlineStr">
        <is>
          <t>Suitable for Oppo Find X9 Ultra corrugated metal paint phone case, Reno 16 metal button case, Realme GT8 hard case</t>
        </is>
      </c>
      <c r="D85" s="6" t="inlineStr">
        <is>
          <t>Hard PC</t>
        </is>
      </c>
      <c r="E85" s="6" t="inlineStr">
        <is>
          <t>Golden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Link</t>
        </is>
      </c>
      <c r="I85" s="7" t="inlineStr">
        <is>
          <t>https://moveon.global/BD_en/products/0000000E102ORKG6-suitable-for-oppo-find-x9-ultra-corrugated-metal-paint-phone-case-reno-16-metal-button-case-realme-gt8-hard-case/1AD8372161823684</t>
        </is>
      </c>
      <c r="J85" s="7" t="inlineStr">
        <is>
          <t>Realme Neo8/Hard PC/sku/RN8-PC-GD-S.jpg</t>
        </is>
      </c>
      <c r="K85" s="8" t="n">
        <v>147.74</v>
      </c>
      <c r="L85" s="8" t="n">
        <v>50</v>
      </c>
      <c r="M85" s="8" t="n">
        <v>62.4</v>
      </c>
      <c r="N85" s="8" t="n">
        <v>5</v>
      </c>
      <c r="O85" s="8" t="n">
        <v>11.5</v>
      </c>
      <c r="P85" s="8" t="n">
        <v>20</v>
      </c>
      <c r="Q85" s="8" t="n">
        <v>0</v>
      </c>
      <c r="R85" s="8">
        <f>SUM(K85:Q85)</f>
        <v/>
      </c>
      <c r="S85" s="8">
        <f>IF(R85&lt;300, R85*1.4, IF(R85&lt;400, R85*1.33, R85*1.25))</f>
        <v/>
      </c>
      <c r="T85" s="9">
        <f>INT(S85/100)*100 + IF(MOD(ROUND(S85,0),100)&lt;25, 0, IF(MOD(ROUND(S85,0),100)&lt;=74, 49, 99))</f>
        <v/>
      </c>
      <c r="U85" s="8">
        <f>IF(T85&lt;300, 0, MIN(99, IF(T85&lt;500, T85*7%, IF(T85&lt;700, T85*12%, T85*15%))))</f>
        <v/>
      </c>
    </row>
    <row r="86">
      <c r="A86" s="2" t="inlineStr">
        <is>
          <t>RN8-GLS-YL-S</t>
        </is>
      </c>
      <c r="B86" s="3" t="inlineStr">
        <is>
          <t>Luxury Tempered Glass Shockproof Protective Back Cover for Realme Neo8 – Ultra-Slim Anti-Drop Case</t>
        </is>
      </c>
      <c r="C86" s="3" t="inlineStr">
        <is>
          <t>Transformers-Themed Glass Case for Realme Neo8, New Stylish and High-End Protective Cover, Ultra-Thin and Shockproof</t>
        </is>
      </c>
      <c r="D86" s="2" t="inlineStr">
        <is>
          <t>Tempered Glass</t>
        </is>
      </c>
      <c r="E86" s="2" t="inlineStr">
        <is>
          <t>A6077 Collection Yellow</t>
        </is>
      </c>
      <c r="F86" s="2" t="inlineStr">
        <is>
          <t>Realme Neo8</t>
        </is>
      </c>
      <c r="G86" s="2" t="inlineStr">
        <is>
          <t>No</t>
        </is>
      </c>
      <c r="H86" s="2" t="inlineStr">
        <is>
          <t>Link</t>
        </is>
      </c>
      <c r="I86" s="3" t="inlineStr">
        <is>
          <t>https://moveon.global/BD_en/products/0000000YB9IRZNPB-transformers-themed-glass-case-for-realme-neo8-new-stylish-and-high-end-protective-cover-ultra-thin-and-shockproof/1AD8329701440673</t>
        </is>
      </c>
      <c r="J86" s="3" t="inlineStr">
        <is>
          <t>Realme Neo8/Tempered Glass/sku/RN8-GLS-YL-S.jpg</t>
        </is>
      </c>
      <c r="K86" s="4" t="n">
        <v>156.83</v>
      </c>
      <c r="L86" s="4" t="n">
        <v>45</v>
      </c>
      <c r="M86" s="4" t="n">
        <v>468</v>
      </c>
      <c r="N86" s="4" t="n">
        <v>5</v>
      </c>
      <c r="O86" s="4" t="n">
        <v>11.5</v>
      </c>
      <c r="P86" s="4" t="n">
        <v>20</v>
      </c>
      <c r="Q86" s="4" t="n">
        <v>0</v>
      </c>
      <c r="R86" s="4">
        <f>SUM(K86:Q86)</f>
        <v/>
      </c>
      <c r="S86" s="4">
        <f>IF(R86&lt;300, R86*1.4, IF(R86&lt;400, R86*1.33, R86*1.25))</f>
        <v/>
      </c>
      <c r="T86" s="5">
        <f>INT(S86/100)*100 + IF(MOD(ROUND(S86,0),100)&lt;25, 0, IF(MOD(ROUND(S86,0),100)&lt;=74, 49, 99))</f>
        <v/>
      </c>
      <c r="U86" s="4">
        <f>IF(T86&lt;300, 0, MIN(99, IF(T86&lt;500, T86*7%, IF(T86&lt;700, T86*12%, T86*15%))))</f>
        <v/>
      </c>
    </row>
    <row r="87">
      <c r="A87" s="6" t="inlineStr">
        <is>
          <t>RN8-GLS-BL-S</t>
        </is>
      </c>
      <c r="B87" s="7" t="inlineStr">
        <is>
          <t>Luxury Tempered Glass Shockproof Protective Back Cover for Realme Neo8 – Ultra-Slim Anti-Drop Case</t>
        </is>
      </c>
      <c r="C87" s="7" t="inlineStr">
        <is>
          <t>Transformers-Themed Glass Case for Realme Neo8, New Stylish and High-End Protective Cover, Ultra-Thin and Shockproof</t>
        </is>
      </c>
      <c r="D87" s="6" t="inlineStr">
        <is>
          <t>Tempered Glass</t>
        </is>
      </c>
      <c r="E87" s="6" t="inlineStr">
        <is>
          <t>A6078 Yuanzu Blue</t>
        </is>
      </c>
      <c r="F87" s="6" t="inlineStr">
        <is>
          <t>Realme Neo8</t>
        </is>
      </c>
      <c r="G87" s="6" t="inlineStr">
        <is>
          <t>No</t>
        </is>
      </c>
      <c r="H87" s="6" t="inlineStr">
        <is>
          <t>Link</t>
        </is>
      </c>
      <c r="I87" s="7" t="inlineStr">
        <is>
          <t>https://moveon.global/BD_en/products/0000000YB9IRZNPB-transformers-themed-glass-case-for-realme-neo8-new-stylish-and-high-end-protective-cover-ultra-thin-and-shockproof/1AD8329701440673</t>
        </is>
      </c>
      <c r="J87" s="7" t="inlineStr">
        <is>
          <t>Realme Neo8/Tempered Glass/sku/RN8-GLS-BL-S.jpg</t>
        </is>
      </c>
      <c r="K87" s="8" t="n">
        <v>156.83</v>
      </c>
      <c r="L87" s="8" t="n">
        <v>45</v>
      </c>
      <c r="M87" s="8" t="n">
        <v>468</v>
      </c>
      <c r="N87" s="8" t="n">
        <v>5</v>
      </c>
      <c r="O87" s="8" t="n">
        <v>11.5</v>
      </c>
      <c r="P87" s="8" t="n">
        <v>20</v>
      </c>
      <c r="Q87" s="8" t="n">
        <v>0</v>
      </c>
      <c r="R87" s="8">
        <f>SUM(K87:Q87)</f>
        <v/>
      </c>
      <c r="S87" s="8">
        <f>IF(R87&lt;300, R87*1.4, IF(R87&lt;400, R87*1.33, R87*1.25))</f>
        <v/>
      </c>
      <c r="T87" s="9">
        <f>INT(S87/100)*100 + IF(MOD(ROUND(S87,0),100)&lt;25, 0, IF(MOD(ROUND(S87,0),100)&lt;=74, 49, 99))</f>
        <v/>
      </c>
      <c r="U87" s="8">
        <f>IF(T87&lt;300, 0, MIN(99, IF(T87&lt;500, T87*7%, IF(T87&lt;700, T87*12%, T87*15%))))</f>
        <v/>
      </c>
    </row>
    <row r="88">
      <c r="A88" s="2" t="inlineStr">
        <is>
          <t>RN8-GLS-GN-S</t>
        </is>
      </c>
      <c r="B88" s="3" t="inlineStr">
        <is>
          <t>Luxury Tempered Glass Shockproof Protective Back Cover for Realme Neo8 – Ultra-Slim Anti-Drop Case</t>
        </is>
      </c>
      <c r="C88" s="3" t="inlineStr">
        <is>
          <t>Transformers-Themed Glass Case for Realme Neo8, New Stylish and High-End Protective Cover, Ultra-Thin and Shockproof</t>
        </is>
      </c>
      <c r="D88" s="2" t="inlineStr">
        <is>
          <t>Tempered Glass</t>
        </is>
      </c>
      <c r="E88" s="2" t="inlineStr">
        <is>
          <t>A6079 Passion Green</t>
        </is>
      </c>
      <c r="F88" s="2" t="inlineStr">
        <is>
          <t>Realme Neo8</t>
        </is>
      </c>
      <c r="G88" s="2" t="inlineStr">
        <is>
          <t>No</t>
        </is>
      </c>
      <c r="H88" s="2" t="inlineStr">
        <is>
          <t>Link</t>
        </is>
      </c>
      <c r="I88" s="3" t="inlineStr">
        <is>
          <t>https://moveon.global/BD_en/products/0000000YB9IRZNPB-transformers-themed-glass-case-for-realme-neo8-new-stylish-and-high-end-protective-cover-ultra-thin-and-shockproof/1AD8329701440673</t>
        </is>
      </c>
      <c r="J88" s="3" t="inlineStr">
        <is>
          <t>Realme Neo8/Tempered Glass/sku/RN8-GLS-GN-S.jpg</t>
        </is>
      </c>
      <c r="K88" s="4" t="n">
        <v>156.83</v>
      </c>
      <c r="L88" s="4" t="n">
        <v>45</v>
      </c>
      <c r="M88" s="4" t="n">
        <v>468</v>
      </c>
      <c r="N88" s="4" t="n">
        <v>5</v>
      </c>
      <c r="O88" s="4" t="n">
        <v>11.5</v>
      </c>
      <c r="P88" s="4" t="n">
        <v>20</v>
      </c>
      <c r="Q88" s="4" t="n">
        <v>0</v>
      </c>
      <c r="R88" s="4">
        <f>SUM(K88:Q88)</f>
        <v/>
      </c>
      <c r="S88" s="4">
        <f>IF(R88&lt;300, R88*1.4, IF(R88&lt;400, R88*1.33, R88*1.25))</f>
        <v/>
      </c>
      <c r="T88" s="5">
        <f>INT(S88/100)*100 + IF(MOD(ROUND(S88,0),100)&lt;25, 0, IF(MOD(ROUND(S88,0),100)&lt;=74, 49, 99))</f>
        <v/>
      </c>
      <c r="U88" s="4">
        <f>IF(T88&lt;300, 0, MIN(99, IF(T88&lt;500, T88*7%, IF(T88&lt;700, T88*12%, T88*15%))))</f>
        <v/>
      </c>
    </row>
    <row r="89">
      <c r="A89" s="6" t="inlineStr">
        <is>
          <t>RN8-GLS-GY-S</t>
        </is>
      </c>
      <c r="B89" s="7" t="inlineStr">
        <is>
          <t>Luxury Tempered Glass Shockproof Protective Back Cover for Realme Neo8 – Ultra-Slim Anti-Drop Case</t>
        </is>
      </c>
      <c r="C89" s="7" t="inlineStr">
        <is>
          <t>Transformers-Themed Glass Case for Realme Neo8, New Stylish and High-End Protective Cover, Ultra-Thin and Shockproof</t>
        </is>
      </c>
      <c r="D89" s="6" t="inlineStr">
        <is>
          <t>Tempered Glass</t>
        </is>
      </c>
      <c r="E89" s="6" t="inlineStr">
        <is>
          <t>A6080 Diamond Gray</t>
        </is>
      </c>
      <c r="F89" s="6" t="inlineStr">
        <is>
          <t>Realme Neo8</t>
        </is>
      </c>
      <c r="G89" s="6" t="inlineStr">
        <is>
          <t>No</t>
        </is>
      </c>
      <c r="H89" s="6" t="inlineStr">
        <is>
          <t>Link</t>
        </is>
      </c>
      <c r="I89" s="7" t="inlineStr">
        <is>
          <t>https://moveon.global/BD_en/products/0000000YB9IRZNPB-transformers-themed-glass-case-for-realme-neo8-new-stylish-and-high-end-protective-cover-ultra-thin-and-shockproof/1AD8329701440673</t>
        </is>
      </c>
      <c r="J89" s="7" t="inlineStr">
        <is>
          <t>Realme Neo8/Tempered Glass/sku/RN8-GLS-GY-S.jpg</t>
        </is>
      </c>
      <c r="K89" s="8" t="n">
        <v>156.83</v>
      </c>
      <c r="L89" s="8" t="n">
        <v>45</v>
      </c>
      <c r="M89" s="8" t="n">
        <v>468</v>
      </c>
      <c r="N89" s="8" t="n">
        <v>5</v>
      </c>
      <c r="O89" s="8" t="n">
        <v>11.5</v>
      </c>
      <c r="P89" s="8" t="n">
        <v>20</v>
      </c>
      <c r="Q89" s="8" t="n">
        <v>0</v>
      </c>
      <c r="R89" s="8">
        <f>SUM(K89:Q89)</f>
        <v/>
      </c>
      <c r="S89" s="8">
        <f>IF(R89&lt;300, R89*1.4, IF(R89&lt;400, R89*1.33, R89*1.25))</f>
        <v/>
      </c>
      <c r="T89" s="9">
        <f>INT(S89/100)*100 + IF(MOD(ROUND(S89,0),100)&lt;25, 0, IF(MOD(ROUND(S89,0),100)&lt;=74, 49, 99))</f>
        <v/>
      </c>
      <c r="U89" s="8">
        <f>IF(T89&lt;300, 0, MIN(99, IF(T89&lt;500, T89*7%, IF(T89&lt;700, T89*12%, T89*15%))))</f>
        <v/>
      </c>
    </row>
    <row r="90">
      <c r="A90" s="2" t="inlineStr">
        <is>
          <t>RN8-GLS-PR-S</t>
        </is>
      </c>
      <c r="B90" s="3" t="inlineStr">
        <is>
          <t>Luxury Tempered Glass Shockproof Protective Back Cover for Realme Neo8 – Ultra-Slim Anti-Drop Case</t>
        </is>
      </c>
      <c r="C90" s="3" t="inlineStr">
        <is>
          <t>Transformers-Themed Glass Case for Realme Neo8, New Stylish and High-End Protective Cover, Ultra-Thin and Shockproof</t>
        </is>
      </c>
      <c r="D90" s="2" t="inlineStr">
        <is>
          <t>Tempered Glass</t>
        </is>
      </c>
      <c r="E90" s="2" t="inlineStr">
        <is>
          <t>A6081 Ghost Purple</t>
        </is>
      </c>
      <c r="F90" s="2" t="inlineStr">
        <is>
          <t>Realme Neo8</t>
        </is>
      </c>
      <c r="G90" s="2" t="inlineStr">
        <is>
          <t>No</t>
        </is>
      </c>
      <c r="H90" s="2" t="inlineStr">
        <is>
          <t>Link</t>
        </is>
      </c>
      <c r="I90" s="3" t="inlineStr">
        <is>
          <t>https://moveon.global/BD_en/products/0000000YB9IRZNPB-transformers-themed-glass-case-for-realme-neo8-new-stylish-and-high-end-protective-cover-ultra-thin-and-shockproof/1AD8329701440673</t>
        </is>
      </c>
      <c r="J90" s="3" t="inlineStr">
        <is>
          <t>Realme Neo8/Tempered Glass/sku/RN8-GLS-PR-S.jpg</t>
        </is>
      </c>
      <c r="K90" s="4" t="n">
        <v>156.83</v>
      </c>
      <c r="L90" s="4" t="n">
        <v>45</v>
      </c>
      <c r="M90" s="4" t="n">
        <v>468</v>
      </c>
      <c r="N90" s="4" t="n">
        <v>5</v>
      </c>
      <c r="O90" s="4" t="n">
        <v>11.5</v>
      </c>
      <c r="P90" s="4" t="n">
        <v>20</v>
      </c>
      <c r="Q90" s="4" t="n">
        <v>0</v>
      </c>
      <c r="R90" s="4">
        <f>SUM(K90:Q90)</f>
        <v/>
      </c>
      <c r="S90" s="4">
        <f>IF(R90&lt;300, R90*1.4, IF(R90&lt;400, R90*1.33, R90*1.25))</f>
        <v/>
      </c>
      <c r="T90" s="5">
        <f>INT(S90/100)*100 + IF(MOD(ROUND(S90,0),100)&lt;25, 0, IF(MOD(ROUND(S90,0),100)&lt;=74, 49, 99))</f>
        <v/>
      </c>
      <c r="U90" s="4">
        <f>IF(T90&lt;300, 0, MIN(99, IF(T90&lt;500, T90*7%, IF(T90&lt;700, T90*12%, T90*15%))))</f>
        <v/>
      </c>
    </row>
    <row r="91">
      <c r="A91" s="6" t="inlineStr">
        <is>
          <t>RN8-GLS-RD-S</t>
        </is>
      </c>
      <c r="B91" s="7" t="inlineStr">
        <is>
          <t>Luxury Tempered Glass Shockproof Protective Back Cover for Realme Neo8 – Ultra-Slim Anti-Drop Case</t>
        </is>
      </c>
      <c r="C91" s="7" t="inlineStr">
        <is>
          <t>Transformers-Themed Glass Case for Realme Neo8, New Stylish and High-End Protective Cover, Ultra-Thin and Shockproof</t>
        </is>
      </c>
      <c r="D91" s="6" t="inlineStr">
        <is>
          <t>Tempered Glass</t>
        </is>
      </c>
      <c r="E91" s="6" t="inlineStr">
        <is>
          <t>A6082 Alarm Red</t>
        </is>
      </c>
      <c r="F91" s="6" t="inlineStr">
        <is>
          <t>Realme Neo8</t>
        </is>
      </c>
      <c r="G91" s="6" t="inlineStr">
        <is>
          <t>No</t>
        </is>
      </c>
      <c r="H91" s="6" t="inlineStr">
        <is>
          <t>Link</t>
        </is>
      </c>
      <c r="I91" s="7" t="inlineStr">
        <is>
          <t>https://moveon.global/BD_en/products/0000000YB9IRZNPB-transformers-themed-glass-case-for-realme-neo8-new-stylish-and-high-end-protective-cover-ultra-thin-and-shockproof/1AD8329701440673</t>
        </is>
      </c>
      <c r="J91" s="7" t="inlineStr">
        <is>
          <t>Realme Neo8/Tempered Glass/sku/RN8-GLS-RD-S.jpg</t>
        </is>
      </c>
      <c r="K91" s="8" t="n">
        <v>156.83</v>
      </c>
      <c r="L91" s="8" t="n">
        <v>45</v>
      </c>
      <c r="M91" s="8" t="n">
        <v>468</v>
      </c>
      <c r="N91" s="8" t="n">
        <v>5</v>
      </c>
      <c r="O91" s="8" t="n">
        <v>11.5</v>
      </c>
      <c r="P91" s="8" t="n">
        <v>20</v>
      </c>
      <c r="Q91" s="8" t="n">
        <v>0</v>
      </c>
      <c r="R91" s="8">
        <f>SUM(K91:Q91)</f>
        <v/>
      </c>
      <c r="S91" s="8">
        <f>IF(R91&lt;300, R91*1.4, IF(R91&lt;400, R91*1.33, R91*1.25))</f>
        <v/>
      </c>
      <c r="T91" s="9">
        <f>INT(S91/100)*100 + IF(MOD(ROUND(S91,0),100)&lt;25, 0, IF(MOD(ROUND(S91,0),100)&lt;=74, 49, 99))</f>
        <v/>
      </c>
      <c r="U91" s="8">
        <f>IF(T91&lt;300, 0, MIN(99, IF(T91&lt;500, T91*7%, IF(T91&lt;700, T91*12%, T91*15%))))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2026-10-21T17:33:27Z</dcterms:created>
  <dcterms:modified xsi:type="dcterms:W3CDTF">2026-10-21T17:33:27Z</dcterms:modified>
</cp:coreProperties>
</file>