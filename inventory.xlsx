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4" customWidth="1" min="8" max="8"/>
    <col width="48" customWidth="1" min="9" max="9"/>
    <col width="48" customWidth="1" min="10" max="10"/>
    <col width="16" customWidth="1" min="11" max="11"/>
    <col width="17" customWidth="1" min="12" max="12"/>
    <col width="15" customWidth="1" min="13" max="13"/>
    <col width="14" customWidth="1" min="14" max="14"/>
    <col width="12" customWidth="1" min="15" max="15"/>
    <col width="12" customWidth="1" min="16" max="16"/>
    <col width="12" customWidth="1" min="17" max="17"/>
    <col width="16" customWidth="1" min="18" max="18"/>
    <col width="16" customWidth="1" min="19" max="19"/>
    <col width="16" customWidth="1" min="20" max="20"/>
    <col width="16" customWidth="1" min="21" max="21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source link</t>
        </is>
      </c>
      <c r="I1" s="1" t="inlineStr">
        <is>
          <t>link</t>
        </is>
      </c>
      <c r="J1" s="1" t="inlineStr">
        <is>
          <t>Local Image Path</t>
        </is>
      </c>
      <c r="K1" s="1" t="inlineStr">
        <is>
          <t>product price</t>
        </is>
      </c>
      <c r="L1" s="1" t="inlineStr">
        <is>
          <t>china delivery</t>
        </is>
      </c>
      <c r="M1" s="1" t="inlineStr">
        <is>
          <t>air shipping</t>
        </is>
      </c>
      <c r="N1" s="1" t="inlineStr">
        <is>
          <t>bd delivery</t>
        </is>
      </c>
      <c r="O1" s="1" t="inlineStr">
        <is>
          <t>packaging</t>
        </is>
      </c>
      <c r="P1" s="1" t="inlineStr">
        <is>
          <t>printing</t>
        </is>
      </c>
      <c r="Q1" s="1" t="inlineStr">
        <is>
          <t>other</t>
        </is>
      </c>
      <c r="R1" s="1" t="inlineStr">
        <is>
          <t>landing cost</t>
        </is>
      </c>
      <c r="S1" s="1" t="inlineStr">
        <is>
          <t>margin</t>
        </is>
      </c>
      <c r="T1" s="1" t="inlineStr">
        <is>
          <t>sell price</t>
        </is>
      </c>
      <c r="U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Link</t>
        </is>
      </c>
      <c r="I2" s="3" t="inlineStr">
        <is>
          <t>https://moveon.global/BD_en/products/0000000TPCI3HYH3-jit-one-piece-dropshippingsuitable-for-xiaomi17-phone-case-independent-station-15spod13t-semi-hosted-civi4/1AD8305263723979</t>
        </is>
      </c>
      <c r="J2" s="3" t="inlineStr"/>
      <c r="K2" s="4" t="n">
        <v>133</v>
      </c>
      <c r="L2" s="4" t="n">
        <v>11.7</v>
      </c>
      <c r="M2" s="4" t="n">
        <v>54.6</v>
      </c>
      <c r="N2" s="4" t="n">
        <v>2.54</v>
      </c>
      <c r="O2" s="4" t="n">
        <v>11.5</v>
      </c>
      <c r="P2" s="4" t="n">
        <v>20</v>
      </c>
      <c r="Q2" s="4" t="n">
        <v>0</v>
      </c>
      <c r="R2" s="4">
        <f>SUM(K2:Q2)</f>
        <v/>
      </c>
      <c r="S2" s="4">
        <f>IF(R2&lt;300, R2*1.4, IF(R2&lt;400, R2*1.33, R2*1.25))</f>
        <v/>
      </c>
      <c r="T2" s="5">
        <f>INT(S2/100)*100 + IF(MOD(ROUND(S2,0),100)&lt;25, 0, IF(MOD(ROUND(S2,0),100)&lt;=74, 49, 99))</f>
        <v/>
      </c>
      <c r="U2" s="4">
        <f>IF(T2&lt;300, 0, MIN(99, IF(T2&lt;500, T2*7%, IF(T2&lt;700, T2*12%, T2*15%))))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Link</t>
        </is>
      </c>
      <c r="I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3" s="7" t="inlineStr"/>
      <c r="K3" s="8" t="n">
        <v>345.8</v>
      </c>
      <c r="L3" s="8" t="n">
        <v>24.61</v>
      </c>
      <c r="M3" s="8" t="n">
        <v>35.01</v>
      </c>
      <c r="N3" s="8" t="n">
        <v>2.54</v>
      </c>
      <c r="O3" s="8" t="n">
        <v>11.5</v>
      </c>
      <c r="P3" s="8" t="n">
        <v>20</v>
      </c>
      <c r="Q3" s="8" t="n">
        <v>0</v>
      </c>
      <c r="R3" s="8">
        <f>SUM(K3:Q3)</f>
        <v/>
      </c>
      <c r="S3" s="8">
        <f>IF(R3&lt;300, R3*1.4, IF(R3&lt;400, R3*1.33, R3*1.25))</f>
        <v/>
      </c>
      <c r="T3" s="9">
        <f>INT(S3/100)*100 + IF(MOD(ROUND(S3,0),100)&lt;25, 0, IF(MOD(ROUND(S3,0),100)&lt;=74, 49, 99))</f>
        <v/>
      </c>
      <c r="U3" s="8">
        <f>IF(T3&lt;300, 0, MIN(99, IF(T3&lt;500, T3*7%, IF(T3&lt;700, T3*12%, T3*15%))))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Link</t>
        </is>
      </c>
      <c r="I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J4" s="3" t="inlineStr"/>
      <c r="K4" s="4" t="n">
        <v>345.8</v>
      </c>
      <c r="L4" s="4" t="n">
        <v>24.61</v>
      </c>
      <c r="M4" s="4" t="n">
        <v>35.01</v>
      </c>
      <c r="N4" s="4" t="n">
        <v>2.54</v>
      </c>
      <c r="O4" s="4" t="n">
        <v>11.5</v>
      </c>
      <c r="P4" s="4" t="n">
        <v>20</v>
      </c>
      <c r="Q4" s="4" t="n">
        <v>0</v>
      </c>
      <c r="R4" s="4">
        <f>SUM(K4:Q4)</f>
        <v/>
      </c>
      <c r="S4" s="4">
        <f>IF(R4&lt;300, R4*1.4, IF(R4&lt;400, R4*1.33, R4*1.25))</f>
        <v/>
      </c>
      <c r="T4" s="5">
        <f>INT(S4/100)*100 + IF(MOD(ROUND(S4,0),100)&lt;25, 0, IF(MOD(ROUND(S4,0),100)&lt;=74, 49, 99))</f>
        <v/>
      </c>
      <c r="U4" s="4">
        <f>IF(T4&lt;300, 0, MIN(99, IF(T4&lt;500, T4*7%, IF(T4&lt;700, T4*12%, T4*15%))))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Link</t>
        </is>
      </c>
      <c r="I5" s="7" t="inlineStr">
        <is>
          <t>https://moveon.global/BD_en/products/0000000UYR39CZAL-cool-mecha-style-case-suitable-for-redmi-turbo-4-pro-new-mens-mecha-style-turbo-3-phone-case/1AD8366032951156</t>
        </is>
      </c>
      <c r="J5" s="7" t="inlineStr"/>
      <c r="K5" s="8" t="n">
        <v>159.6</v>
      </c>
      <c r="L5" s="8" t="n">
        <v>2.66</v>
      </c>
      <c r="M5" s="8" t="n">
        <v>51.2</v>
      </c>
      <c r="N5" s="8" t="n">
        <v>2.54</v>
      </c>
      <c r="O5" s="8" t="n">
        <v>11.5</v>
      </c>
      <c r="P5" s="8" t="n">
        <v>20</v>
      </c>
      <c r="Q5" s="8" t="n">
        <v>0</v>
      </c>
      <c r="R5" s="8">
        <f>SUM(K5:Q5)</f>
        <v/>
      </c>
      <c r="S5" s="8">
        <f>IF(R5&lt;300, R5*1.4, IF(R5&lt;400, R5*1.33, R5*1.25))</f>
        <v/>
      </c>
      <c r="T5" s="9">
        <f>INT(S5/100)*100 + IF(MOD(ROUND(S5,0),100)&lt;25, 0, IF(MOD(ROUND(S5,0),100)&lt;=74, 49, 99))</f>
        <v/>
      </c>
      <c r="U5" s="8">
        <f>IF(T5&lt;300, 0, MIN(99, IF(T5&lt;500, T5*7%, IF(T5&lt;700, T5*12%, T5*15%))))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Link</t>
        </is>
      </c>
      <c r="I6" s="3" t="inlineStr">
        <is>
          <t>https://moveon.global/BD_en/products/0000000UYR39CZAL-cool-mecha-style-case-suitable-for-redmi-turbo-4-pro-new-mens-mecha-style-turbo-3-phone-case/1AD8366032951156</t>
        </is>
      </c>
      <c r="J6" s="3" t="inlineStr"/>
      <c r="K6" s="4" t="n">
        <v>159.6</v>
      </c>
      <c r="L6" s="4" t="n">
        <v>2.66</v>
      </c>
      <c r="M6" s="4" t="n">
        <v>51.2</v>
      </c>
      <c r="N6" s="4" t="n">
        <v>2.54</v>
      </c>
      <c r="O6" s="4" t="n">
        <v>11.5</v>
      </c>
      <c r="P6" s="4" t="n">
        <v>20</v>
      </c>
      <c r="Q6" s="4" t="n">
        <v>0</v>
      </c>
      <c r="R6" s="4">
        <f>SUM(K6:Q6)</f>
        <v/>
      </c>
      <c r="S6" s="4">
        <f>IF(R6&lt;300, R6*1.4, IF(R6&lt;400, R6*1.33, R6*1.25))</f>
        <v/>
      </c>
      <c r="T6" s="5">
        <f>INT(S6/100)*100 + IF(MOD(ROUND(S6,0),100)&lt;25, 0, IF(MOD(ROUND(S6,0),100)&lt;=74, 49, 99))</f>
        <v/>
      </c>
      <c r="U6" s="4">
        <f>IF(T6&lt;300, 0, MIN(99, IF(T6&lt;500, T6*7%, IF(T6&lt;700, T6*12%, T6*15%))))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Link</t>
        </is>
      </c>
      <c r="I7" s="7" t="inlineStr">
        <is>
          <t>https://moveon.global/BD_en/products/0000000UYR39CZAL-cool-mecha-style-case-suitable-for-redmi-turbo-4-pro-new-mens-mecha-style-turbo-3-phone-case/1AD8366032951156</t>
        </is>
      </c>
      <c r="J7" s="7" t="inlineStr"/>
      <c r="K7" s="8" t="n">
        <v>159.6</v>
      </c>
      <c r="L7" s="8" t="n">
        <v>2.66</v>
      </c>
      <c r="M7" s="8" t="n">
        <v>51.2</v>
      </c>
      <c r="N7" s="8" t="n">
        <v>2.54</v>
      </c>
      <c r="O7" s="8" t="n">
        <v>11.5</v>
      </c>
      <c r="P7" s="8" t="n">
        <v>20</v>
      </c>
      <c r="Q7" s="8" t="n">
        <v>0</v>
      </c>
      <c r="R7" s="8">
        <f>SUM(K7:Q7)</f>
        <v/>
      </c>
      <c r="S7" s="8">
        <f>IF(R7&lt;300, R7*1.4, IF(R7&lt;400, R7*1.33, R7*1.25))</f>
        <v/>
      </c>
      <c r="T7" s="9">
        <f>INT(S7/100)*100 + IF(MOD(ROUND(S7,0),100)&lt;25, 0, IF(MOD(ROUND(S7,0),100)&lt;=74, 49, 99))</f>
        <v/>
      </c>
      <c r="U7" s="8">
        <f>IF(T7&lt;300, 0, MIN(99, IF(T7&lt;500, T7*7%, IF(T7&lt;700, T7*12%, T7*15%))))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Link</t>
        </is>
      </c>
      <c r="I8" s="3" t="inlineStr">
        <is>
          <t>https://moveon.global/BD_en/products/0000000UYR39CZAL-cool-mecha-style-case-suitable-for-redmi-turbo-4-pro-new-mens-mecha-style-turbo-3-phone-case/1AD8366032951156</t>
        </is>
      </c>
      <c r="J8" s="3" t="inlineStr"/>
      <c r="K8" s="4" t="n">
        <v>159.6</v>
      </c>
      <c r="L8" s="4" t="n">
        <v>2.66</v>
      </c>
      <c r="M8" s="4" t="n">
        <v>51.2</v>
      </c>
      <c r="N8" s="4" t="n">
        <v>2.54</v>
      </c>
      <c r="O8" s="4" t="n">
        <v>11.5</v>
      </c>
      <c r="P8" s="4" t="n">
        <v>20</v>
      </c>
      <c r="Q8" s="4" t="n">
        <v>0</v>
      </c>
      <c r="R8" s="4">
        <f>SUM(K8:Q8)</f>
        <v/>
      </c>
      <c r="S8" s="4">
        <f>IF(R8&lt;300, R8*1.4, IF(R8&lt;400, R8*1.33, R8*1.25))</f>
        <v/>
      </c>
      <c r="T8" s="5">
        <f>INT(S8/100)*100 + IF(MOD(ROUND(S8,0),100)&lt;25, 0, IF(MOD(ROUND(S8,0),100)&lt;=74, 49, 99))</f>
        <v/>
      </c>
      <c r="U8" s="4">
        <f>IF(T8&lt;300, 0, MIN(99, IF(T8&lt;500, T8*7%, IF(T8&lt;700, T8*12%, T8*15%))))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/>
      <c r="I9" s="7" t="inlineStr">
        <is>
          <t>https://moveon.global/BD_en/products/0000000UYR39CZAL-cool-mecha-style-case-suitable-for-redmi-turbo-4-pro-new-mens-mecha-style-turbo-3-phone-case/1AD8366032951156</t>
        </is>
      </c>
      <c r="J9" s="7" t="inlineStr"/>
      <c r="K9" s="8" t="n">
        <v>159.6</v>
      </c>
      <c r="L9" s="8" t="n">
        <v>2.66</v>
      </c>
      <c r="M9" s="8" t="n">
        <v>51.2</v>
      </c>
      <c r="N9" s="8" t="n">
        <v>2.54</v>
      </c>
      <c r="O9" s="8" t="n">
        <v>11.5</v>
      </c>
      <c r="P9" s="8" t="n">
        <v>20</v>
      </c>
      <c r="Q9" s="8" t="n">
        <v>0</v>
      </c>
      <c r="R9" s="8">
        <f>SUM(K9:Q9)</f>
        <v/>
      </c>
      <c r="S9" s="8">
        <f>IF(R9&lt;300, R9*1.4, IF(R9&lt;400, R9*1.33, R9*1.25))</f>
        <v/>
      </c>
      <c r="T9" s="9">
        <f>INT(S9/100)*100 + IF(MOD(ROUND(S9,0),100)&lt;25, 0, IF(MOD(ROUND(S9,0),100)&lt;=74, 49, 99))</f>
        <v/>
      </c>
      <c r="U9" s="8">
        <f>IF(T9&lt;300, 0, MIN(99, IF(T9&lt;500, T9*7%, IF(T9&lt;700, T9*12%, T9*15%))))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Link</t>
        </is>
      </c>
      <c r="I10" s="3" t="inlineStr">
        <is>
          <t>https://moveon.global/BD_en/products/0000000O0R0QIE2O-jit-one-piece-dropshippinggalaxys25-phone-case-semi-managed-s24-fully-managed-s24fe-aliexpress/1AD8304920318534</t>
        </is>
      </c>
      <c r="J10" s="3" t="inlineStr"/>
      <c r="K10" s="4" t="n">
        <v>106.4</v>
      </c>
      <c r="L10" s="4" t="n">
        <v>9.039999999999999</v>
      </c>
      <c r="M10" s="4" t="n">
        <v>54.6</v>
      </c>
      <c r="N10" s="4" t="n">
        <v>2.54</v>
      </c>
      <c r="O10" s="4" t="n">
        <v>11.5</v>
      </c>
      <c r="P10" s="4" t="n">
        <v>20</v>
      </c>
      <c r="Q10" s="4" t="n">
        <v>0</v>
      </c>
      <c r="R10" s="4">
        <f>SUM(K10:Q10)</f>
        <v/>
      </c>
      <c r="S10" s="4">
        <f>IF(R10&lt;300, R10*1.4, IF(R10&lt;400, R10*1.33, R10*1.25))</f>
        <v/>
      </c>
      <c r="T10" s="5">
        <f>INT(S10/100)*100 + IF(MOD(ROUND(S10,0),100)&lt;25, 0, IF(MOD(ROUND(S10,0),100)&lt;=74, 49, 99))</f>
        <v/>
      </c>
      <c r="U10" s="4">
        <f>IF(T10&lt;300, 0, MIN(99, IF(T10&lt;500, T10*7%, IF(T10&lt;700, T10*12%, T10*15%))))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Link</t>
        </is>
      </c>
      <c r="I11" s="7" t="inlineStr">
        <is>
          <t>https://moveon.global/BD_en/products/0000000HHR0RE2BI-jit-one-piece-dropshippingsuitable-for-xiaomi17-phone-case-aliexpress-f7-mercado-libre-turbo4-foreign-trade/1AD8397614601637</t>
        </is>
      </c>
      <c r="J11" s="7" t="inlineStr"/>
      <c r="K11" s="8" t="n">
        <v>133</v>
      </c>
      <c r="L11" s="8" t="n">
        <v>11.44</v>
      </c>
      <c r="M11" s="8" t="n">
        <v>56</v>
      </c>
      <c r="N11" s="8" t="n">
        <v>2.54</v>
      </c>
      <c r="O11" s="8" t="n">
        <v>11.5</v>
      </c>
      <c r="P11" s="8" t="n">
        <v>20</v>
      </c>
      <c r="Q11" s="8" t="n">
        <v>0</v>
      </c>
      <c r="R11" s="8">
        <f>SUM(K11:Q11)</f>
        <v/>
      </c>
      <c r="S11" s="8">
        <f>IF(R11&lt;300, R11*1.4, IF(R11&lt;400, R11*1.33, R11*1.25))</f>
        <v/>
      </c>
      <c r="T11" s="9">
        <f>INT(S11/100)*100 + IF(MOD(ROUND(S11,0),100)&lt;25, 0, IF(MOD(ROUND(S11,0),100)&lt;=74, 49, 99))</f>
        <v/>
      </c>
      <c r="U11" s="8">
        <f>IF(T11&lt;300, 0, MIN(99, IF(T11&lt;500, T11*7%, IF(T11&lt;700, T11*12%, T11*15%))))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Link</t>
        </is>
      </c>
      <c r="I12" s="3" t="inlineStr">
        <is>
          <t>https://moveon.global/BD_en/products/0000000HHR0RE2BI-jit-one-piece-dropshippingsuitable-for-xiaomi17-phone-case-aliexpress-f7-mercado-libre-turbo4-foreign-trade/1AD8397614601637</t>
        </is>
      </c>
      <c r="J12" s="3" t="inlineStr"/>
      <c r="K12" s="4" t="n">
        <v>133</v>
      </c>
      <c r="L12" s="4" t="n">
        <v>11.44</v>
      </c>
      <c r="M12" s="4" t="n">
        <v>56</v>
      </c>
      <c r="N12" s="4" t="n">
        <v>2.54</v>
      </c>
      <c r="O12" s="4" t="n">
        <v>11.5</v>
      </c>
      <c r="P12" s="4" t="n">
        <v>20</v>
      </c>
      <c r="Q12" s="4" t="n">
        <v>0</v>
      </c>
      <c r="R12" s="4">
        <f>SUM(K12:Q12)</f>
        <v/>
      </c>
      <c r="S12" s="4">
        <f>IF(R12&lt;300, R12*1.4, IF(R12&lt;400, R12*1.33, R12*1.25))</f>
        <v/>
      </c>
      <c r="T12" s="5">
        <f>INT(S12/100)*100 + IF(MOD(ROUND(S12,0),100)&lt;25, 0, IF(MOD(ROUND(S12,0),100)&lt;=74, 49, 99))</f>
        <v/>
      </c>
      <c r="U12" s="4">
        <f>IF(T12&lt;300, 0, MIN(99, IF(T12&lt;500, T12*7%, IF(T12&lt;700, T12*12%, T12*15%))))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Link</t>
        </is>
      </c>
      <c r="I13" s="7" t="inlineStr">
        <is>
          <t>https://moveon.global/BD_en/products/0000000HHR0RE2BI-jit-one-piece-dropshippingsuitable-for-xiaomi17-phone-case-aliexpress-f7-mercado-libre-turbo4-foreign-trade/1AD8397614601637</t>
        </is>
      </c>
      <c r="J13" s="7" t="inlineStr"/>
      <c r="K13" s="8" t="n">
        <v>133</v>
      </c>
      <c r="L13" s="8" t="n">
        <v>11.44</v>
      </c>
      <c r="M13" s="8" t="n">
        <v>56</v>
      </c>
      <c r="N13" s="8" t="n">
        <v>2.54</v>
      </c>
      <c r="O13" s="8" t="n">
        <v>11.5</v>
      </c>
      <c r="P13" s="8" t="n">
        <v>20</v>
      </c>
      <c r="Q13" s="8" t="n">
        <v>0</v>
      </c>
      <c r="R13" s="8">
        <f>SUM(K13:Q13)</f>
        <v/>
      </c>
      <c r="S13" s="8">
        <f>IF(R13&lt;300, R13*1.4, IF(R13&lt;400, R13*1.33, R13*1.25))</f>
        <v/>
      </c>
      <c r="T13" s="9">
        <f>INT(S13/100)*100 + IF(MOD(ROUND(S13,0),100)&lt;25, 0, IF(MOD(ROUND(S13,0),100)&lt;=74, 49, 99))</f>
        <v/>
      </c>
      <c r="U13" s="8">
        <f>IF(T13&lt;300, 0, MIN(99, IF(T13&lt;500, T13*7%, IF(T13&lt;700, T13*12%, T13*15%))))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Link</t>
        </is>
      </c>
      <c r="I14" s="3" t="inlineStr">
        <is>
          <t>https://moveon.global/BD_en/products/0000000HHR0RE2BI-jit-one-piece-dropshippingsuitable-for-xiaomi17-phone-case-aliexpress-f7-mercado-libre-turbo4-foreign-trade/1AD8397614601637</t>
        </is>
      </c>
      <c r="J14" s="3" t="inlineStr"/>
      <c r="K14" s="4" t="n">
        <v>133</v>
      </c>
      <c r="L14" s="4" t="n">
        <v>11.44</v>
      </c>
      <c r="M14" s="4" t="n">
        <v>56</v>
      </c>
      <c r="N14" s="4" t="n">
        <v>2.54</v>
      </c>
      <c r="O14" s="4" t="n">
        <v>11.5</v>
      </c>
      <c r="P14" s="4" t="n">
        <v>20</v>
      </c>
      <c r="Q14" s="4" t="n">
        <v>0</v>
      </c>
      <c r="R14" s="4">
        <f>SUM(K14:Q14)</f>
        <v/>
      </c>
      <c r="S14" s="4">
        <f>IF(R14&lt;300, R14*1.4, IF(R14&lt;400, R14*1.33, R14*1.25))</f>
        <v/>
      </c>
      <c r="T14" s="5">
        <f>INT(S14/100)*100 + IF(MOD(ROUND(S14,0),100)&lt;25, 0, IF(MOD(ROUND(S14,0),100)&lt;=74, 49, 99))</f>
        <v/>
      </c>
      <c r="U14" s="4">
        <f>IF(T14&lt;300, 0, MIN(99, IF(T14&lt;500, T14*7%, IF(T14&lt;700, T14*12%, T14*15%))))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Link</t>
        </is>
      </c>
      <c r="I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5" s="7" t="inlineStr"/>
      <c r="K15" s="8" t="n">
        <v>146.3</v>
      </c>
      <c r="L15" s="8" t="n">
        <v>79.8</v>
      </c>
      <c r="M15" s="8" t="n">
        <v>87.5</v>
      </c>
      <c r="N15" s="8" t="n">
        <v>5.09</v>
      </c>
      <c r="O15" s="8" t="n">
        <v>11.5</v>
      </c>
      <c r="P15" s="8" t="n">
        <v>20</v>
      </c>
      <c r="Q15" s="8" t="n">
        <v>0</v>
      </c>
      <c r="R15" s="8">
        <f>SUM(K15:Q15)</f>
        <v/>
      </c>
      <c r="S15" s="8">
        <f>IF(R15&lt;300, R15*1.4, IF(R15&lt;400, R15*1.33, R15*1.25))</f>
        <v/>
      </c>
      <c r="T15" s="9">
        <f>INT(S15/100)*100 + IF(MOD(ROUND(S15,0),100)&lt;25, 0, IF(MOD(ROUND(S15,0),100)&lt;=74, 49, 99))</f>
        <v/>
      </c>
      <c r="U15" s="8">
        <f>IF(T15&lt;300, 0, MIN(99, IF(T15&lt;500, T15*7%, IF(T15&lt;700, T15*12%, T15*15%))))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Link</t>
        </is>
      </c>
      <c r="I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J16" s="3" t="inlineStr"/>
      <c r="K16" s="4" t="n">
        <v>146.3</v>
      </c>
      <c r="L16" s="4" t="n">
        <v>79.8</v>
      </c>
      <c r="M16" s="4" t="n">
        <v>87.5</v>
      </c>
      <c r="N16" s="4" t="n">
        <v>5.09</v>
      </c>
      <c r="O16" s="4" t="n">
        <v>11.5</v>
      </c>
      <c r="P16" s="4" t="n">
        <v>20</v>
      </c>
      <c r="Q16" s="4" t="n">
        <v>0</v>
      </c>
      <c r="R16" s="4">
        <f>SUM(K16:Q16)</f>
        <v/>
      </c>
      <c r="S16" s="4">
        <f>IF(R16&lt;300, R16*1.4, IF(R16&lt;400, R16*1.33, R16*1.25))</f>
        <v/>
      </c>
      <c r="T16" s="5">
        <f>INT(S16/100)*100 + IF(MOD(ROUND(S16,0),100)&lt;25, 0, IF(MOD(ROUND(S16,0),100)&lt;=74, 49, 99))</f>
        <v/>
      </c>
      <c r="U16" s="4">
        <f>IF(T16&lt;300, 0, MIN(99, IF(T16&lt;500, T16*7%, IF(T16&lt;700, T16*12%, T16*15%))))</f>
        <v/>
      </c>
    </row>
    <row r="17">
      <c r="A17" s="6" t="inlineStr">
        <is>
          <t>S26U-PW-B-N</t>
        </is>
      </c>
      <c r="B17" s="7" t="inlineStr">
        <is>
          <t>Luxury Wood Grain Magnetic Case for Samsung Galaxy S26 Ultra – Slim Shockproof Hard Back Cover</t>
        </is>
      </c>
      <c r="C17" s="7" t="inlineStr">
        <is>
          <t>Samsung Galaxy S26 Ultra Wood Grain Magnetic Case</t>
        </is>
      </c>
      <c r="D17" s="6" t="inlineStr">
        <is>
          <t>PCs</t>
        </is>
      </c>
      <c r="E17" s="6" t="inlineStr">
        <is>
          <t>Poplar Wood Grain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Link</t>
        </is>
      </c>
      <c r="I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7" s="7" t="inlineStr"/>
      <c r="K17" s="8" t="n">
        <v>252.7</v>
      </c>
      <c r="L17" s="8" t="n">
        <v>18.09</v>
      </c>
      <c r="M17" s="8" t="n">
        <v>35</v>
      </c>
      <c r="N17" s="8" t="n">
        <v>2.54</v>
      </c>
      <c r="O17" s="8" t="n">
        <v>11.5</v>
      </c>
      <c r="P17" s="8" t="n">
        <v>20</v>
      </c>
      <c r="Q17" s="8" t="n">
        <v>0</v>
      </c>
      <c r="R17" s="8">
        <f>SUM(K17:Q17)</f>
        <v/>
      </c>
      <c r="S17" s="8">
        <f>IF(R17&lt;300, R17*1.4, IF(R17&lt;400, R17*1.33, R17*1.25))</f>
        <v/>
      </c>
      <c r="T17" s="9">
        <f>INT(S17/100)*100 + IF(MOD(ROUND(S17,0),100)&lt;25, 0, IF(MOD(ROUND(S17,0),100)&lt;=74, 49, 99))</f>
        <v/>
      </c>
      <c r="U17" s="8">
        <f>IF(T17&lt;300, 0, MIN(99, IF(T17&lt;500, T17*7%, IF(T17&lt;700, T17*12%, T17*15%))))</f>
        <v/>
      </c>
    </row>
    <row r="18">
      <c r="A18" s="2" t="inlineStr">
        <is>
          <t>S26U-PW-B-N</t>
        </is>
      </c>
      <c r="B18" s="3" t="inlineStr">
        <is>
          <t>Luxury Wood Grain Magnetic Case for Samsung Galaxy S26 Ultra – Slim Shockproof Hard Back Cover</t>
        </is>
      </c>
      <c r="C18" s="3" t="inlineStr">
        <is>
          <t>Samsung Galaxy S26 Ultra Wood Grain Magnetic Case</t>
        </is>
      </c>
      <c r="D18" s="2" t="inlineStr">
        <is>
          <t>PCs</t>
        </is>
      </c>
      <c r="E18" s="2" t="inlineStr">
        <is>
          <t>Dark Gray Wood Grain</t>
        </is>
      </c>
      <c r="F18" s="2" t="inlineStr">
        <is>
          <t>Samsung Galaxy S26 Ultra</t>
        </is>
      </c>
      <c r="G18" s="2" t="inlineStr">
        <is>
          <t>No</t>
        </is>
      </c>
      <c r="H18" s="2" t="inlineStr">
        <is>
          <t>Link</t>
        </is>
      </c>
      <c r="I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J18" s="3" t="inlineStr"/>
      <c r="K18" s="4" t="n">
        <v>252.7</v>
      </c>
      <c r="L18" s="4" t="n">
        <v>18.09</v>
      </c>
      <c r="M18" s="4" t="n">
        <v>35</v>
      </c>
      <c r="N18" s="4" t="n">
        <v>2.54</v>
      </c>
      <c r="O18" s="4" t="n">
        <v>11.5</v>
      </c>
      <c r="P18" s="4" t="n">
        <v>20</v>
      </c>
      <c r="Q18" s="4" t="n">
        <v>0</v>
      </c>
      <c r="R18" s="4">
        <f>SUM(K18:Q18)</f>
        <v/>
      </c>
      <c r="S18" s="4">
        <f>IF(R18&lt;300, R18*1.4, IF(R18&lt;400, R18*1.33, R18*1.25))</f>
        <v/>
      </c>
      <c r="T18" s="5">
        <f>INT(S18/100)*100 + IF(MOD(ROUND(S18,0),100)&lt;25, 0, IF(MOD(ROUND(S18,0),100)&lt;=74, 49, 99))</f>
        <v/>
      </c>
      <c r="U18" s="4">
        <f>IF(T18&lt;300, 0, MIN(99, IF(T18&lt;500, T18*7%, IF(T18&lt;700, T18*12%, T18*15%))))</f>
        <v/>
      </c>
    </row>
    <row r="19">
      <c r="A19" s="6" t="inlineStr">
        <is>
          <t>S26U-MI-B-N</t>
        </is>
      </c>
      <c r="B19" s="7" t="inlineStr">
        <is>
          <t>Magnetic Invisible Stand Armor Case for Samsung Galaxy S26 Ultra – Heavy Duty Metal Lens Frame Hybrid Back Cover</t>
        </is>
      </c>
      <c r="C19" s="7" t="inlineStr">
        <is>
          <t>Samsung Galaxy S26 Ultra Magnetic Invisible Bracket</t>
        </is>
      </c>
      <c r="D19" s="6" t="inlineStr">
        <is>
          <t>Metal lens frame Acrylic / TPU</t>
        </is>
      </c>
      <c r="E19" s="6" t="inlineStr">
        <is>
          <t>Black – Magnetic Invisible Bracket</t>
        </is>
      </c>
      <c r="F19" s="6" t="inlineStr">
        <is>
          <t>Samsung Galaxy S26 Ultra</t>
        </is>
      </c>
      <c r="G19" s="6" t="inlineStr">
        <is>
          <t>No</t>
        </is>
      </c>
      <c r="H19" s="6" t="inlineStr">
        <is>
          <t>Link</t>
        </is>
      </c>
      <c r="I19" s="7" t="inlineStr">
        <is>
          <t>https://moveon.global/BD_en/products/0000000PWJ01ZSK1-metal-invisible-lens-bracket-suitable-for-samsung-s26ultra-magnetic-phone-case-s25fe-transparent-s24plus-case/1AC5307428543960</t>
        </is>
      </c>
      <c r="J19" s="7" t="inlineStr"/>
      <c r="K19" s="8" t="n">
        <v>265.74</v>
      </c>
      <c r="L19" s="8" t="n">
        <v>50.2</v>
      </c>
      <c r="M19" s="8" t="n">
        <v>80</v>
      </c>
      <c r="N19" s="8" t="n">
        <v>5.09</v>
      </c>
      <c r="O19" s="8" t="n">
        <v>11.5</v>
      </c>
      <c r="P19" s="8" t="n">
        <v>20</v>
      </c>
      <c r="Q19" s="8" t="n">
        <v>0</v>
      </c>
      <c r="R19" s="8">
        <f>SUM(K19:Q19)</f>
        <v/>
      </c>
      <c r="S19" s="8">
        <f>IF(R19&lt;300, R19*1.4, IF(R19&lt;400, R19*1.33, R19*1.25))</f>
        <v/>
      </c>
      <c r="T19" s="9">
        <f>INT(S19/100)*100 + IF(MOD(ROUND(S19,0),100)&lt;25, 0, IF(MOD(ROUND(S19,0),100)&lt;=74, 49, 99))</f>
        <v/>
      </c>
      <c r="U19" s="8">
        <f>IF(T19&lt;300, 0, MIN(99, IF(T19&lt;500, T19*7%, IF(T19&lt;700, T19*12%, T19*15%))))</f>
        <v/>
      </c>
    </row>
    <row r="20">
      <c r="A20" s="2" t="inlineStr">
        <is>
          <t>18P-AC-M-R-N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Pro Magnetic Acrylic Case</t>
        </is>
      </c>
      <c r="D20" s="2" t="inlineStr">
        <is>
          <t>Acrylic</t>
        </is>
      </c>
      <c r="E20" s="2" t="inlineStr">
        <is>
          <t>Wine Red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Link</t>
        </is>
      </c>
      <c r="I20" s="3" t="inlineStr">
        <is>
          <t>https://moveon.global/BD_en/products/0000000XI6T00NZT-suitable-for-apple-18promax-phone-case-magnetic-transparent-iphone17-acrylic-silicone-solid-color-skin-feel-frame/1AD8357853016175</t>
        </is>
      </c>
      <c r="J20" s="3" t="inlineStr"/>
      <c r="K20" s="4" t="n">
        <v>87.25</v>
      </c>
      <c r="L20" s="4" t="n">
        <v>16.55</v>
      </c>
      <c r="M20" s="4" t="n">
        <v>81.59999999999999</v>
      </c>
      <c r="N20" s="4" t="n">
        <v>5.09</v>
      </c>
      <c r="O20" s="4" t="n">
        <v>11.5</v>
      </c>
      <c r="P20" s="4" t="n">
        <v>20</v>
      </c>
      <c r="Q20" s="4" t="n">
        <v>0</v>
      </c>
      <c r="R20" s="4">
        <f>SUM(K20:Q20)</f>
        <v/>
      </c>
      <c r="S20" s="4">
        <f>IF(R20&lt;300, R20*1.4, IF(R20&lt;400, R20*1.33, R20*1.25))</f>
        <v/>
      </c>
      <c r="T20" s="5">
        <f>INT(S20/100)*100 + IF(MOD(ROUND(S20,0),100)&lt;25, 0, IF(MOD(ROUND(S20,0),100)&lt;=74, 49, 99))</f>
        <v/>
      </c>
      <c r="U20" s="4">
        <f>IF(T20&lt;300, 0, MIN(99, IF(T20&lt;500, T20*7%, IF(T20&lt;700, T20*12%, T20*15%))))</f>
        <v/>
      </c>
    </row>
    <row r="21">
      <c r="A21" s="6" t="inlineStr">
        <is>
          <t>18PM-AC-M-R-N</t>
        </is>
      </c>
      <c r="B21" s="7" t="inlineStr">
        <is>
          <t>Luxury Magnetic Clear Acrylic Case for iPhone 18 Pro Max – Anti-Yellow Shockproof Hard Hybrid Back Cover</t>
        </is>
      </c>
      <c r="C21" s="7" t="inlineStr">
        <is>
          <t>iPhone 18  Pro Max Magnetic Acrylic Case</t>
        </is>
      </c>
      <c r="D21" s="6" t="inlineStr">
        <is>
          <t>Acrylic</t>
        </is>
      </c>
      <c r="E21" s="6" t="inlineStr">
        <is>
          <t>Wine Red</t>
        </is>
      </c>
      <c r="F21" s="6" t="inlineStr">
        <is>
          <t>iPhone 18 Pro Max</t>
        </is>
      </c>
      <c r="G21" s="6" t="inlineStr">
        <is>
          <t>No</t>
        </is>
      </c>
      <c r="H21" s="6" t="inlineStr">
        <is>
          <t>Link</t>
        </is>
      </c>
      <c r="I21" s="7" t="inlineStr">
        <is>
          <t>https://moveon.global/BD_en/products/0000000XI6T00NZT-suitable-for-apple-18promax-phone-case-magnetic-transparent-iphone17-acrylic-silicone-solid-color-skin-feel-frame/1AD8357853016175</t>
        </is>
      </c>
      <c r="J21" s="7" t="inlineStr"/>
      <c r="K21" s="8" t="n">
        <v>87.25</v>
      </c>
      <c r="L21" s="8" t="n">
        <v>16.55</v>
      </c>
      <c r="M21" s="8" t="n">
        <v>81.59999999999999</v>
      </c>
      <c r="N21" s="8" t="n">
        <v>5.09</v>
      </c>
      <c r="O21" s="8" t="n">
        <v>11.5</v>
      </c>
      <c r="P21" s="8" t="n">
        <v>20</v>
      </c>
      <c r="Q21" s="8" t="n">
        <v>0</v>
      </c>
      <c r="R21" s="8">
        <f>SUM(K21:Q21)</f>
        <v/>
      </c>
      <c r="S21" s="8">
        <f>IF(R21&lt;300, R21*1.4, IF(R21&lt;400, R21*1.33, R21*1.25))</f>
        <v/>
      </c>
      <c r="T21" s="9">
        <f>INT(S21/100)*100 + IF(MOD(ROUND(S21,0),100)&lt;25, 0, IF(MOD(ROUND(S21,0),100)&lt;=74, 49, 99))</f>
        <v/>
      </c>
      <c r="U21" s="8">
        <f>IF(T21&lt;300, 0, MIN(99, IF(T21&lt;500, T21*7%, IF(T21&lt;700, T21*12%, T21*15%))))</f>
        <v/>
      </c>
    </row>
    <row r="22">
      <c r="A22" s="2" t="inlineStr">
        <is>
          <t>18PM-AC-M-B-N</t>
        </is>
      </c>
      <c r="B22" s="3" t="inlineStr">
        <is>
          <t>Luxury Magnetic Clear Acrylic Case for iPhone 18 Pro – Anti-Yellow Shockproof Hard Hybrid Back Cover</t>
        </is>
      </c>
      <c r="C22" s="3" t="inlineStr">
        <is>
          <t>iPhone 18  Pro  Magnetic Acrylic Case</t>
        </is>
      </c>
      <c r="D22" s="2" t="inlineStr">
        <is>
          <t>Acrylic</t>
        </is>
      </c>
      <c r="E22" s="2" t="inlineStr">
        <is>
          <t>Black</t>
        </is>
      </c>
      <c r="F22" s="2" t="inlineStr">
        <is>
          <t>iPhone 18 Pro</t>
        </is>
      </c>
      <c r="G22" s="2" t="inlineStr">
        <is>
          <t>No</t>
        </is>
      </c>
      <c r="H22" s="2" t="inlineStr">
        <is>
          <t>Link</t>
        </is>
      </c>
      <c r="I22" s="3" t="inlineStr">
        <is>
          <t>https://moveon.global/BD_en/products/0000000XI6T00NZT-suitable-for-apple-18promax-phone-case-magnetic-transparent-iphone17-acrylic-silicone-solid-color-skin-feel-frame/1AD8357853016175</t>
        </is>
      </c>
      <c r="J22" s="3" t="inlineStr"/>
      <c r="K22" s="4" t="n">
        <v>87.25</v>
      </c>
      <c r="L22" s="4" t="n">
        <v>16.55</v>
      </c>
      <c r="M22" s="4" t="n">
        <v>81.59999999999999</v>
      </c>
      <c r="N22" s="4" t="n">
        <v>5.09</v>
      </c>
      <c r="O22" s="4" t="n">
        <v>11.5</v>
      </c>
      <c r="P22" s="4" t="n">
        <v>20</v>
      </c>
      <c r="Q22" s="4" t="n">
        <v>0</v>
      </c>
      <c r="R22" s="4">
        <f>SUM(K22:Q22)</f>
        <v/>
      </c>
      <c r="S22" s="4">
        <f>IF(R22&lt;300, R22*1.4, IF(R22&lt;400, R22*1.33, R22*1.25))</f>
        <v/>
      </c>
      <c r="T22" s="5">
        <f>INT(S22/100)*100 + IF(MOD(ROUND(S22,0),100)&lt;25, 0, IF(MOD(ROUND(S22,0),100)&lt;=74, 49, 99))</f>
        <v/>
      </c>
      <c r="U22" s="4">
        <f>IF(T22&lt;300, 0, MIN(99, IF(T22&lt;500, T22*7%, IF(T22&lt;700, T22*12%, T22*15%))))</f>
        <v/>
      </c>
    </row>
    <row r="23">
      <c r="A23" s="6" t="inlineStr">
        <is>
          <t>17PM-AC-M-O-N</t>
        </is>
      </c>
      <c r="B23" s="7" t="inlineStr">
        <is>
          <t>Luxury Magnetic Clear Acrylic Case for iPhone 17 Pro Max – Anti-Yellow Shockproof Hard Hybrid Back Cover</t>
        </is>
      </c>
      <c r="C23" s="7" t="inlineStr">
        <is>
          <t>iPhone 17 Pro Max Magnetic Acrylic Case</t>
        </is>
      </c>
      <c r="D23" s="6" t="inlineStr">
        <is>
          <t>Acrylic</t>
        </is>
      </c>
      <c r="E23" s="6" t="inlineStr">
        <is>
          <t>Orange</t>
        </is>
      </c>
      <c r="F23" s="6" t="inlineStr">
        <is>
          <t>iPhone 17 Pro Max</t>
        </is>
      </c>
      <c r="G23" s="6" t="inlineStr">
        <is>
          <t>No</t>
        </is>
      </c>
      <c r="H23" s="6" t="inlineStr">
        <is>
          <t>Link</t>
        </is>
      </c>
      <c r="I23" s="7" t="inlineStr">
        <is>
          <t>https://moveon.global/BD_en/products/0000000XI6T00NZT-suitable-for-apple-18promax-phone-case-magnetic-transparent-iphone17-acrylic-silicone-solid-color-skin-feel-frame/1AD8357853016175</t>
        </is>
      </c>
      <c r="J23" s="7" t="inlineStr"/>
      <c r="K23" s="8" t="n">
        <v>87.25</v>
      </c>
      <c r="L23" s="8" t="n">
        <v>16.55</v>
      </c>
      <c r="M23" s="8" t="n">
        <v>81.59999999999999</v>
      </c>
      <c r="N23" s="8" t="n">
        <v>5.09</v>
      </c>
      <c r="O23" s="8" t="n">
        <v>11.5</v>
      </c>
      <c r="P23" s="8" t="n">
        <v>20</v>
      </c>
      <c r="Q23" s="8" t="n">
        <v>0</v>
      </c>
      <c r="R23" s="8">
        <f>SUM(K23:Q23)</f>
        <v/>
      </c>
      <c r="S23" s="8">
        <f>IF(R23&lt;300, R23*1.4, IF(R23&lt;400, R23*1.33, R23*1.25))</f>
        <v/>
      </c>
      <c r="T23" s="9">
        <f>INT(S23/100)*100 + IF(MOD(ROUND(S23,0),100)&lt;25, 0, IF(MOD(ROUND(S23,0),100)&lt;=74, 49, 99))</f>
        <v/>
      </c>
      <c r="U23" s="8">
        <f>IF(T23&lt;300, 0, MIN(99, IF(T23&lt;500, T23*7%, IF(T23&lt;700, T23*12%, T23*15%))))</f>
        <v/>
      </c>
    </row>
    <row r="24">
      <c r="A24" s="2" t="inlineStr">
        <is>
          <t>17PM-AC-M-PK-N</t>
        </is>
      </c>
      <c r="B24" s="3" t="inlineStr">
        <is>
          <t>Luxury Magnetic Clear Acrylic Case for iPhone 17 Pro Max – Anti-Yellow Shockproof Hard Hybrid Back Cover</t>
        </is>
      </c>
      <c r="C24" s="3" t="inlineStr">
        <is>
          <t>iPhone 17 Pro Max Magnetic Acrylic Case</t>
        </is>
      </c>
      <c r="D24" s="2" t="inlineStr">
        <is>
          <t>Acrylic</t>
        </is>
      </c>
      <c r="E24" s="2" t="inlineStr">
        <is>
          <t>Pink</t>
        </is>
      </c>
      <c r="F24" s="2" t="inlineStr">
        <is>
          <t>iPhone 17 Pro Max</t>
        </is>
      </c>
      <c r="G24" s="2" t="inlineStr">
        <is>
          <t>No</t>
        </is>
      </c>
      <c r="H24" s="2" t="inlineStr">
        <is>
          <t>Link</t>
        </is>
      </c>
      <c r="I24" s="3" t="inlineStr">
        <is>
          <t>https://moveon.global/BD_en/products/0000000XI6T00NZT-suitable-for-apple-18promax-phone-case-magnetic-transparent-iphone17-acrylic-silicone-solid-color-skin-feel-frame/1AD8357853016175</t>
        </is>
      </c>
      <c r="J24" s="3" t="inlineStr"/>
      <c r="K24" s="4" t="n">
        <v>87.25</v>
      </c>
      <c r="L24" s="4" t="n">
        <v>16.55</v>
      </c>
      <c r="M24" s="4" t="n">
        <v>81.59999999999999</v>
      </c>
      <c r="N24" s="4" t="n">
        <v>5.09</v>
      </c>
      <c r="O24" s="4" t="n">
        <v>11.5</v>
      </c>
      <c r="P24" s="4" t="n">
        <v>20</v>
      </c>
      <c r="Q24" s="4" t="n">
        <v>0</v>
      </c>
      <c r="R24" s="4">
        <f>SUM(K24:Q24)</f>
        <v/>
      </c>
      <c r="S24" s="4">
        <f>IF(R24&lt;300, R24*1.4, IF(R24&lt;400, R24*1.33, R24*1.25))</f>
        <v/>
      </c>
      <c r="T24" s="5">
        <f>INT(S24/100)*100 + IF(MOD(ROUND(S24,0),100)&lt;25, 0, IF(MOD(ROUND(S24,0),100)&lt;=74, 49, 99))</f>
        <v/>
      </c>
      <c r="U24" s="4">
        <f>IF(T24&lt;300, 0, MIN(99, IF(T24&lt;500, T24*7%, IF(T24&lt;700, T24*12%, T24*15%))))</f>
        <v/>
      </c>
    </row>
    <row r="25">
      <c r="A25" s="6" t="inlineStr">
        <is>
          <t>18PM-HS-S-N</t>
        </is>
      </c>
      <c r="B25" s="7" t="inlineStr">
        <is>
          <t>Ultra-Slim Matte Hard Case with Camera Lens Protector for iPhone 18 Pro Max – Luxury Anti-Scratch Protective Back Cover</t>
        </is>
      </c>
      <c r="C25" s="7" t="inlineStr">
        <is>
          <t>iPhone 18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18 Pro Max</t>
        </is>
      </c>
      <c r="G25" s="6" t="inlineStr">
        <is>
          <t>No</t>
        </is>
      </c>
      <c r="H25" s="6" t="inlineStr">
        <is>
          <t>Link</t>
        </is>
      </c>
      <c r="I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5" s="7" t="inlineStr"/>
      <c r="K25" s="8" t="n">
        <v>119.7</v>
      </c>
      <c r="L25" s="8" t="n">
        <v>8.75</v>
      </c>
      <c r="M25" s="8" t="n">
        <v>38</v>
      </c>
      <c r="N25" s="8" t="n">
        <v>2.54</v>
      </c>
      <c r="O25" s="8" t="n">
        <v>11.5</v>
      </c>
      <c r="P25" s="8" t="n">
        <v>20</v>
      </c>
      <c r="Q25" s="8" t="n">
        <v>0</v>
      </c>
      <c r="R25" s="8">
        <f>SUM(K25:Q25)</f>
        <v/>
      </c>
      <c r="S25" s="8">
        <f>IF(R25&lt;300, R25*1.4, IF(R25&lt;400, R25*1.33, R25*1.25))</f>
        <v/>
      </c>
      <c r="T25" s="9">
        <f>INT(S25/100)*100 + IF(MOD(ROUND(S25,0),100)&lt;25, 0, IF(MOD(ROUND(S25,0),100)&lt;=74, 49, 99))</f>
        <v/>
      </c>
      <c r="U25" s="8">
        <f>IF(T25&lt;300, 0, MIN(99, IF(T25&lt;500, T25*7%, IF(T25&lt;700, T25*12%, T25*15%))))</f>
        <v/>
      </c>
    </row>
    <row r="26">
      <c r="A26" s="2" t="inlineStr">
        <is>
          <t>18P-HS-S-N</t>
        </is>
      </c>
      <c r="B26" s="3" t="inlineStr">
        <is>
          <t>Ultra-Slim Matte Hard Case with Camera Lens Protector for iPhone 18 Pro – Luxury Anti-Scratch Protective Back Cover</t>
        </is>
      </c>
      <c r="C26" s="3" t="inlineStr">
        <is>
          <t>iPhone 18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18 Pro</t>
        </is>
      </c>
      <c r="G26" s="2" t="inlineStr">
        <is>
          <t>No</t>
        </is>
      </c>
      <c r="H26" s="2" t="inlineStr">
        <is>
          <t>Link</t>
        </is>
      </c>
      <c r="I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6" s="3" t="inlineStr"/>
      <c r="K26" s="4" t="n">
        <v>119.7</v>
      </c>
      <c r="L26" s="4" t="n">
        <v>8.75</v>
      </c>
      <c r="M26" s="4" t="n">
        <v>38</v>
      </c>
      <c r="N26" s="4" t="n">
        <v>2.54</v>
      </c>
      <c r="O26" s="4" t="n">
        <v>11.5</v>
      </c>
      <c r="P26" s="4" t="n">
        <v>20</v>
      </c>
      <c r="Q26" s="4" t="n">
        <v>0</v>
      </c>
      <c r="R26" s="4">
        <f>SUM(K26:Q26)</f>
        <v/>
      </c>
      <c r="S26" s="4">
        <f>IF(R26&lt;300, R26*1.4, IF(R26&lt;400, R26*1.33, R26*1.25))</f>
        <v/>
      </c>
      <c r="T26" s="5">
        <f>INT(S26/100)*100 + IF(MOD(ROUND(S26,0),100)&lt;25, 0, IF(MOD(ROUND(S26,0),100)&lt;=74, 49, 99))</f>
        <v/>
      </c>
      <c r="U26" s="4">
        <f>IF(T26&lt;300, 0, MIN(99, IF(T26&lt;500, T26*7%, IF(T26&lt;700, T26*12%, T26*15%))))</f>
        <v/>
      </c>
    </row>
    <row r="27">
      <c r="A27" s="6" t="inlineStr">
        <is>
          <t>17PM-HS-S-N</t>
        </is>
      </c>
      <c r="B27" s="7" t="inlineStr">
        <is>
          <t>Ultra-Slim Matte Hard Case with Camera Lens Protector for iPhone 17 Pro Max – Luxury Anti-Scratch Protective Back Cover</t>
        </is>
      </c>
      <c r="C27" s="7" t="inlineStr">
        <is>
          <t>iPhone 17 Pro Max Hard Shell Case with Lens Film</t>
        </is>
      </c>
      <c r="D27" s="6" t="inlineStr">
        <is>
          <t>PCs</t>
        </is>
      </c>
      <c r="E27" s="6" t="inlineStr">
        <is>
          <t>Elegant Silver</t>
        </is>
      </c>
      <c r="F27" s="6" t="inlineStr">
        <is>
          <t>iPhone 17 Pro Max</t>
        </is>
      </c>
      <c r="G27" s="6" t="inlineStr">
        <is>
          <t>No</t>
        </is>
      </c>
      <c r="H27" s="6" t="inlineStr">
        <is>
          <t>Link</t>
        </is>
      </c>
      <c r="I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7" s="7" t="inlineStr"/>
      <c r="K27" s="8" t="n">
        <v>119.7</v>
      </c>
      <c r="L27" s="8" t="n">
        <v>8.75</v>
      </c>
      <c r="M27" s="8" t="n">
        <v>38</v>
      </c>
      <c r="N27" s="8" t="n">
        <v>2.54</v>
      </c>
      <c r="O27" s="8" t="n">
        <v>11.5</v>
      </c>
      <c r="P27" s="8" t="n">
        <v>20</v>
      </c>
      <c r="Q27" s="8" t="n">
        <v>0</v>
      </c>
      <c r="R27" s="8">
        <f>SUM(K27:Q27)</f>
        <v/>
      </c>
      <c r="S27" s="8">
        <f>IF(R27&lt;300, R27*1.4, IF(R27&lt;400, R27*1.33, R27*1.25))</f>
        <v/>
      </c>
      <c r="T27" s="9">
        <f>INT(S27/100)*100 + IF(MOD(ROUND(S27,0),100)&lt;25, 0, IF(MOD(ROUND(S27,0),100)&lt;=74, 49, 99))</f>
        <v/>
      </c>
      <c r="U27" s="8">
        <f>IF(T27&lt;300, 0, MIN(99, IF(T27&lt;500, T27*7%, IF(T27&lt;700, T27*12%, T27*15%))))</f>
        <v/>
      </c>
    </row>
    <row r="28">
      <c r="A28" s="2" t="inlineStr">
        <is>
          <t>17P-HS-S-N</t>
        </is>
      </c>
      <c r="B28" s="3" t="inlineStr">
        <is>
          <t>Ultra-Slim Matte Hard Case with Camera Lens Protector for iPhone 17 Pro – Luxury Anti-Scratch Protective Back Cover</t>
        </is>
      </c>
      <c r="C28" s="3" t="inlineStr">
        <is>
          <t>iPhone 17 Pro Hard Shell Case with Lens Film</t>
        </is>
      </c>
      <c r="D28" s="2" t="inlineStr">
        <is>
          <t>PCs</t>
        </is>
      </c>
      <c r="E28" s="2" t="inlineStr">
        <is>
          <t>Elegant Silver</t>
        </is>
      </c>
      <c r="F28" s="2" t="inlineStr">
        <is>
          <t>iPhone 17 Pro</t>
        </is>
      </c>
      <c r="G28" s="2" t="inlineStr">
        <is>
          <t>No</t>
        </is>
      </c>
      <c r="H28" s="2" t="inlineStr">
        <is>
          <t>Link</t>
        </is>
      </c>
      <c r="I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J28" s="3" t="inlineStr"/>
      <c r="K28" s="4" t="n">
        <v>119.7</v>
      </c>
      <c r="L28" s="4" t="n">
        <v>8.75</v>
      </c>
      <c r="M28" s="4" t="n">
        <v>38</v>
      </c>
      <c r="N28" s="4" t="n">
        <v>2.54</v>
      </c>
      <c r="O28" s="4" t="n">
        <v>11.5</v>
      </c>
      <c r="P28" s="4" t="n">
        <v>20</v>
      </c>
      <c r="Q28" s="4" t="n">
        <v>0</v>
      </c>
      <c r="R28" s="4">
        <f>SUM(K28:Q28)</f>
        <v/>
      </c>
      <c r="S28" s="4">
        <f>IF(R28&lt;300, R28*1.4, IF(R28&lt;400, R28*1.33, R28*1.25))</f>
        <v/>
      </c>
      <c r="T28" s="5">
        <f>INT(S28/100)*100 + IF(MOD(ROUND(S28,0),100)&lt;25, 0, IF(MOD(ROUND(S28,0),100)&lt;=74, 49, 99))</f>
        <v/>
      </c>
      <c r="U28" s="4">
        <f>IF(T28&lt;300, 0, MIN(99, IF(T28&lt;500, T28*7%, IF(T28&lt;700, T28*12%, T28*15%))))</f>
        <v/>
      </c>
    </row>
    <row r="29">
      <c r="A29" s="6" t="inlineStr">
        <is>
          <t>RN8-SIL-WT-S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Antique White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Link</t>
        </is>
      </c>
      <c r="I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J29" s="7" t="inlineStr">
        <is>
          <t>Realme Neo8/Liquid Silicone/sku/RN8-SIL-WT-S.jpg</t>
        </is>
      </c>
      <c r="K29" s="8" t="n">
        <v>39.9</v>
      </c>
      <c r="L29" s="8" t="n">
        <v>10</v>
      </c>
      <c r="M29" s="8" t="n">
        <v>50</v>
      </c>
      <c r="N29" s="8" t="n">
        <v>5</v>
      </c>
      <c r="O29" s="8" t="n">
        <v>11.5</v>
      </c>
      <c r="P29" s="8" t="n">
        <v>20</v>
      </c>
      <c r="Q29" s="8" t="n">
        <v>0</v>
      </c>
      <c r="R29" s="8">
        <f>SUM(K29:Q29)</f>
        <v/>
      </c>
      <c r="S29" s="8">
        <f>IF(R29&lt;300, R29*1.4, IF(R29&lt;400, R29*1.33, R29*1.25))</f>
        <v/>
      </c>
      <c r="T29" s="9">
        <f>INT(S29/100)*100 + IF(MOD(ROUND(S29,0),100)&lt;25, 0, IF(MOD(ROUND(S29,0),100)&lt;=74, 49, 99))</f>
        <v/>
      </c>
      <c r="U29" s="8">
        <f>IF(T29&lt;300, 0, MIN(99, IF(T29&lt;500, T29*7%, IF(T29&lt;700, T29*12%, T29*15%))))</f>
        <v/>
      </c>
    </row>
    <row r="30">
      <c r="A30" s="2" t="inlineStr">
        <is>
          <t>RN8-SIL-PR-S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Grass Purple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Link</t>
        </is>
      </c>
      <c r="I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0" s="3" t="inlineStr">
        <is>
          <t>Realme Neo8/Liquid Silicone/sku/RN8-SIL-PR-S.jpg</t>
        </is>
      </c>
      <c r="K30" s="4" t="n">
        <v>39.9</v>
      </c>
      <c r="L30" s="4" t="n">
        <v>10</v>
      </c>
      <c r="M30" s="4" t="n">
        <v>50</v>
      </c>
      <c r="N30" s="4" t="n">
        <v>5</v>
      </c>
      <c r="O30" s="4" t="n">
        <v>11.5</v>
      </c>
      <c r="P30" s="4" t="n">
        <v>20</v>
      </c>
      <c r="Q30" s="4" t="n">
        <v>0</v>
      </c>
      <c r="R30" s="4">
        <f>SUM(K30:Q30)</f>
        <v/>
      </c>
      <c r="S30" s="4">
        <f>IF(R30&lt;300, R30*1.4, IF(R30&lt;400, R30*1.33, R30*1.25))</f>
        <v/>
      </c>
      <c r="T30" s="5">
        <f>INT(S30/100)*100 + IF(MOD(ROUND(S30,0),100)&lt;25, 0, IF(MOD(ROUND(S30,0),100)&lt;=74, 49, 99))</f>
        <v/>
      </c>
      <c r="U30" s="4">
        <f>IF(T30&lt;300, 0, MIN(99, IF(T30&lt;500, T30*7%, IF(T30&lt;700, T30*12%, T30*15%))))</f>
        <v/>
      </c>
    </row>
    <row r="31">
      <c r="A31" s="6" t="inlineStr">
        <is>
          <t>RN8-SIL-GN-S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Dark Night Green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Link</t>
        </is>
      </c>
      <c r="I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1" s="7" t="inlineStr">
        <is>
          <t>Realme Neo8/Liquid Silicone/sku/RN8-SIL-GN-S.jpg</t>
        </is>
      </c>
      <c r="K31" s="8" t="n">
        <v>39.9</v>
      </c>
      <c r="L31" s="8" t="n">
        <v>10</v>
      </c>
      <c r="M31" s="8" t="n">
        <v>50</v>
      </c>
      <c r="N31" s="8" t="n">
        <v>5</v>
      </c>
      <c r="O31" s="8" t="n">
        <v>11.5</v>
      </c>
      <c r="P31" s="8" t="n">
        <v>20</v>
      </c>
      <c r="Q31" s="8" t="n">
        <v>0</v>
      </c>
      <c r="R31" s="8">
        <f>SUM(K31:Q31)</f>
        <v/>
      </c>
      <c r="S31" s="8">
        <f>IF(R31&lt;300, R31*1.4, IF(R31&lt;400, R31*1.33, R31*1.25))</f>
        <v/>
      </c>
      <c r="T31" s="9">
        <f>INT(S31/100)*100 + IF(MOD(ROUND(S31,0),100)&lt;25, 0, IF(MOD(ROUND(S31,0),100)&lt;=74, 49, 99))</f>
        <v/>
      </c>
      <c r="U31" s="8">
        <f>IF(T31&lt;300, 0, MIN(99, IF(T31&lt;500, T31*7%, IF(T31&lt;700, T31*12%, T31*15%))))</f>
        <v/>
      </c>
    </row>
    <row r="32">
      <c r="A32" s="2" t="inlineStr">
        <is>
          <t>RN8-SIL-BL-S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Royal Blue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Link</t>
        </is>
      </c>
      <c r="I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2" s="3" t="inlineStr">
        <is>
          <t>Realme Neo8/Liquid Silicone/sku/RN8-SIL-BL-S.jpg</t>
        </is>
      </c>
      <c r="K32" s="4" t="n">
        <v>39.9</v>
      </c>
      <c r="L32" s="4" t="n">
        <v>10</v>
      </c>
      <c r="M32" s="4" t="n">
        <v>50</v>
      </c>
      <c r="N32" s="4" t="n">
        <v>5</v>
      </c>
      <c r="O32" s="4" t="n">
        <v>11.5</v>
      </c>
      <c r="P32" s="4" t="n">
        <v>20</v>
      </c>
      <c r="Q32" s="4" t="n">
        <v>0</v>
      </c>
      <c r="R32" s="4">
        <f>SUM(K32:Q32)</f>
        <v/>
      </c>
      <c r="S32" s="4">
        <f>IF(R32&lt;300, R32*1.4, IF(R32&lt;400, R32*1.33, R32*1.25))</f>
        <v/>
      </c>
      <c r="T32" s="5">
        <f>INT(S32/100)*100 + IF(MOD(ROUND(S32,0),100)&lt;25, 0, IF(MOD(ROUND(S32,0),100)&lt;=74, 49, 99))</f>
        <v/>
      </c>
      <c r="U32" s="4">
        <f>IF(T32&lt;300, 0, MIN(99, IF(T32&lt;500, T32*7%, IF(T32&lt;700, T32*12%, T32*15%))))</f>
        <v/>
      </c>
    </row>
    <row r="33">
      <c r="A33" s="6" t="inlineStr">
        <is>
          <t>RN8-SIL-BK-S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Classic Black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Link</t>
        </is>
      </c>
      <c r="I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3" s="7" t="inlineStr">
        <is>
          <t>Realme Neo8/Liquid Silicone/sku/RN8-SIL-BK-S.jpg</t>
        </is>
      </c>
      <c r="K33" s="8" t="n">
        <v>39.9</v>
      </c>
      <c r="L33" s="8" t="n">
        <v>10</v>
      </c>
      <c r="M33" s="8" t="n">
        <v>50</v>
      </c>
      <c r="N33" s="8" t="n">
        <v>5</v>
      </c>
      <c r="O33" s="8" t="n">
        <v>11.5</v>
      </c>
      <c r="P33" s="8" t="n">
        <v>20</v>
      </c>
      <c r="Q33" s="8" t="n">
        <v>0</v>
      </c>
      <c r="R33" s="8">
        <f>SUM(K33:Q33)</f>
        <v/>
      </c>
      <c r="S33" s="8">
        <f>IF(R33&lt;300, R33*1.4, IF(R33&lt;400, R33*1.33, R33*1.25))</f>
        <v/>
      </c>
      <c r="T33" s="9">
        <f>INT(S33/100)*100 + IF(MOD(ROUND(S33,0),100)&lt;25, 0, IF(MOD(ROUND(S33,0),100)&lt;=74, 49, 99))</f>
        <v/>
      </c>
      <c r="U33" s="8">
        <f>IF(T33&lt;300, 0, MIN(99, IF(T33&lt;500, T33*7%, IF(T33&lt;700, T33*12%, T33*15%))))</f>
        <v/>
      </c>
    </row>
    <row r="34">
      <c r="A34" s="2" t="inlineStr">
        <is>
          <t>RN8-SIL-PR-S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Lavender Gray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Link</t>
        </is>
      </c>
      <c r="I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4" s="3" t="inlineStr">
        <is>
          <t>Realme Neo8/Liquid Silicone/sku/RN8-SIL-PR-S.jpg</t>
        </is>
      </c>
      <c r="K34" s="4" t="n">
        <v>39.9</v>
      </c>
      <c r="L34" s="4" t="n">
        <v>10</v>
      </c>
      <c r="M34" s="4" t="n">
        <v>50</v>
      </c>
      <c r="N34" s="4" t="n">
        <v>5</v>
      </c>
      <c r="O34" s="4" t="n">
        <v>11.5</v>
      </c>
      <c r="P34" s="4" t="n">
        <v>20</v>
      </c>
      <c r="Q34" s="4" t="n">
        <v>0</v>
      </c>
      <c r="R34" s="4">
        <f>SUM(K34:Q34)</f>
        <v/>
      </c>
      <c r="S34" s="4">
        <f>IF(R34&lt;300, R34*1.4, IF(R34&lt;400, R34*1.33, R34*1.25))</f>
        <v/>
      </c>
      <c r="T34" s="5">
        <f>INT(S34/100)*100 + IF(MOD(ROUND(S34,0),100)&lt;25, 0, IF(MOD(ROUND(S34,0),100)&lt;=74, 49, 99))</f>
        <v/>
      </c>
      <c r="U34" s="4">
        <f>IF(T34&lt;300, 0, MIN(99, IF(T34&lt;500, T34*7%, IF(T34&lt;700, T34*12%, T34*15%))))</f>
        <v/>
      </c>
    </row>
    <row r="35">
      <c r="A35" s="6" t="inlineStr">
        <is>
          <t>RN8-SIL-RD-S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Camellia Red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Link</t>
        </is>
      </c>
      <c r="I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5" s="7" t="inlineStr">
        <is>
          <t>Realme Neo8/Liquid Silicone/sku/RN8-SIL-RD-S.jpg</t>
        </is>
      </c>
      <c r="K35" s="8" t="n">
        <v>39.9</v>
      </c>
      <c r="L35" s="8" t="n">
        <v>10</v>
      </c>
      <c r="M35" s="8" t="n">
        <v>50</v>
      </c>
      <c r="N35" s="8" t="n">
        <v>5</v>
      </c>
      <c r="O35" s="8" t="n">
        <v>11.5</v>
      </c>
      <c r="P35" s="8" t="n">
        <v>20</v>
      </c>
      <c r="Q35" s="8" t="n">
        <v>0</v>
      </c>
      <c r="R35" s="8">
        <f>SUM(K35:Q35)</f>
        <v/>
      </c>
      <c r="S35" s="8">
        <f>IF(R35&lt;300, R35*1.4, IF(R35&lt;400, R35*1.33, R35*1.25))</f>
        <v/>
      </c>
      <c r="T35" s="9">
        <f>INT(S35/100)*100 + IF(MOD(ROUND(S35,0),100)&lt;25, 0, IF(MOD(ROUND(S35,0),100)&lt;=74, 49, 99))</f>
        <v/>
      </c>
      <c r="U35" s="8">
        <f>IF(T35&lt;300, 0, MIN(99, IF(T35&lt;500, T35*7%, IF(T35&lt;700, T35*12%, T35*15%))))</f>
        <v/>
      </c>
    </row>
    <row r="36">
      <c r="A36" s="2" t="inlineStr">
        <is>
          <t>RN8-SIL-TL-S</t>
        </is>
      </c>
      <c r="B36" s="3" t="inlineStr">
        <is>
          <t>Luxury Liquid Silicone Shockproof Case for Realme GT Neo 8 – Skin-Friendly Soft Cube Anti-Drop Protective Back Cover</t>
        </is>
      </c>
      <c r="C36" s="3" t="inlineStr">
        <is>
          <t>Suitable for Realme Neo8 phone case, simple solid color cube liquid silicone full-cover anti-drop soft case, new model</t>
        </is>
      </c>
      <c r="D36" s="2" t="inlineStr">
        <is>
          <t>Liquid Silicone</t>
        </is>
      </c>
      <c r="E36" s="2" t="inlineStr">
        <is>
          <t>Light Teal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Link</t>
        </is>
      </c>
      <c r="I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J36" s="3" t="inlineStr">
        <is>
          <t>Realme Neo8/Liquid Silicone/sku/RN8-SIL-TL-S.jpg</t>
        </is>
      </c>
      <c r="K36" s="4" t="n">
        <v>39.9</v>
      </c>
      <c r="L36" s="4" t="n">
        <v>10</v>
      </c>
      <c r="M36" s="4" t="n">
        <v>50</v>
      </c>
      <c r="N36" s="4" t="n">
        <v>5</v>
      </c>
      <c r="O36" s="4" t="n">
        <v>11.5</v>
      </c>
      <c r="P36" s="4" t="n">
        <v>20</v>
      </c>
      <c r="Q36" s="4" t="n">
        <v>0</v>
      </c>
      <c r="R36" s="4">
        <f>SUM(K36:Q36)</f>
        <v/>
      </c>
      <c r="S36" s="4">
        <f>IF(R36&lt;300, R36*1.4, IF(R36&lt;400, R36*1.33, R36*1.25))</f>
        <v/>
      </c>
      <c r="T36" s="5">
        <f>INT(S36/100)*100 + IF(MOD(ROUND(S36,0),100)&lt;25, 0, IF(MOD(ROUND(S36,0),100)&lt;=74, 49, 99))</f>
        <v/>
      </c>
      <c r="U36" s="4">
        <f>IF(T36&lt;300, 0, MIN(99, IF(T36&lt;500, T36*7%, IF(T36&lt;700, T36*12%, T36*15%))))</f>
        <v/>
      </c>
    </row>
    <row r="37">
      <c r="A37" s="6" t="inlineStr">
        <is>
          <t>RN8-SIL-CL-C</t>
        </is>
      </c>
      <c r="B37" s="7" t="inlineStr">
        <is>
          <t>Luxury Liquid Silicone Shockproof Case for Realme GT Neo 8 – Skin-Friendly Soft Cube Anti-Drop Protective Back Cover</t>
        </is>
      </c>
      <c r="C37" s="7" t="inlineStr">
        <is>
          <t>Suitable for Realme Neo8 phone case, simple solid color cube liquid silicone full-cover anti-drop soft case, new model</t>
        </is>
      </c>
      <c r="D37" s="6" t="inlineStr">
        <is>
          <t>Liquid Silicone</t>
        </is>
      </c>
      <c r="E37" s="6" t="inlineStr">
        <is>
          <t>Transparent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Link</t>
        </is>
      </c>
      <c r="I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J37" s="7" t="inlineStr">
        <is>
          <t>Realme Neo8/Liquid Silicone/sku/RN8-SIL-CL-C.jpg</t>
        </is>
      </c>
      <c r="K37" s="8" t="n">
        <v>39.9</v>
      </c>
      <c r="L37" s="8" t="n">
        <v>10</v>
      </c>
      <c r="M37" s="8" t="n">
        <v>50</v>
      </c>
      <c r="N37" s="8" t="n">
        <v>5</v>
      </c>
      <c r="O37" s="8" t="n">
        <v>11.5</v>
      </c>
      <c r="P37" s="8" t="n">
        <v>20</v>
      </c>
      <c r="Q37" s="8" t="n">
        <v>0</v>
      </c>
      <c r="R37" s="8">
        <f>SUM(K37:Q37)</f>
        <v/>
      </c>
      <c r="S37" s="8">
        <f>IF(R37&lt;300, R37*1.4, IF(R37&lt;400, R37*1.33, R37*1.25))</f>
        <v/>
      </c>
      <c r="T37" s="9">
        <f>INT(S37/100)*100 + IF(MOD(ROUND(S37,0),100)&lt;25, 0, IF(MOD(ROUND(S37,0),100)&lt;=74, 49, 99))</f>
        <v/>
      </c>
      <c r="U37" s="8">
        <f>IF(T37&lt;300, 0, MIN(99, IF(T37&lt;500, T37*7%, IF(T37&lt;700, T37*12%, T37*15%))))</f>
        <v/>
      </c>
    </row>
    <row r="38">
      <c r="A38" s="2" t="inlineStr">
        <is>
          <t>RN8-TPU-WT-M</t>
        </is>
      </c>
      <c r="B38" s="3" t="inlineStr">
        <is>
          <t>Magnetic Ultra-Thin Shockproof Case for Realme GT Neo 8 – Slim Soft TPU Full Protection Back Cover</t>
        </is>
      </c>
      <c r="C38" s="3" t="inlineStr">
        <is>
          <t>Suitable for Realme Neo8 Mobile Phone Case, Magnetic Ultra-Thin Soft Case, Realme Thin Neo8 Protective Case, Tpu Full Cover</t>
        </is>
      </c>
      <c r="D38" s="2" t="inlineStr">
        <is>
          <t>TPU</t>
        </is>
      </c>
      <c r="E38" s="2" t="inlineStr">
        <is>
          <t>Transparent White</t>
        </is>
      </c>
      <c r="F38" s="2" t="inlineStr">
        <is>
          <t>Realme Neo8</t>
        </is>
      </c>
      <c r="G38" s="2" t="inlineStr">
        <is>
          <t>No</t>
        </is>
      </c>
      <c r="H38" s="2" t="inlineStr">
        <is>
          <t>Link</t>
        </is>
      </c>
      <c r="I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J38" s="3" t="inlineStr">
        <is>
          <t>Realme Neo8/TPU/sku/RN8-TPU-WT-M.jpg</t>
        </is>
      </c>
      <c r="K38" s="4" t="n">
        <v>133</v>
      </c>
      <c r="L38" s="4" t="n">
        <v>10</v>
      </c>
      <c r="M38" s="4" t="n">
        <v>50</v>
      </c>
      <c r="N38" s="4" t="n">
        <v>5</v>
      </c>
      <c r="O38" s="4" t="n">
        <v>11.5</v>
      </c>
      <c r="P38" s="4" t="n">
        <v>20</v>
      </c>
      <c r="Q38" s="4" t="n">
        <v>0</v>
      </c>
      <c r="R38" s="4">
        <f>SUM(K38:Q38)</f>
        <v/>
      </c>
      <c r="S38" s="4">
        <f>IF(R38&lt;300, R38*1.4, IF(R38&lt;400, R38*1.33, R38*1.25))</f>
        <v/>
      </c>
      <c r="T38" s="5">
        <f>INT(S38/100)*100 + IF(MOD(ROUND(S38,0),100)&lt;25, 0, IF(MOD(ROUND(S38,0),100)&lt;=74, 49, 99))</f>
        <v/>
      </c>
      <c r="U38" s="4">
        <f>IF(T38&lt;300, 0, MIN(99, IF(T38&lt;500, T38*7%, IF(T38&lt;700, T38*12%, T38*15%))))</f>
        <v/>
      </c>
    </row>
    <row r="39">
      <c r="A39" s="6" t="inlineStr">
        <is>
          <t>RN8-TPU-BK-M</t>
        </is>
      </c>
      <c r="B39" s="7" t="inlineStr">
        <is>
          <t>Magnetic Ultra-Thin Shockproof Case for Realme GT Neo 8 – Slim Soft TPU Full Protection Back Cover</t>
        </is>
      </c>
      <c r="C39" s="7" t="inlineStr">
        <is>
          <t>Suitable for Realme Neo8 Mobile Phone Case, Magnetic Ultra-Thin Soft Case, Realme Thin Neo8 Protective Case, Tpu Full Cover</t>
        </is>
      </c>
      <c r="D39" s="6" t="inlineStr">
        <is>
          <t>TPU</t>
        </is>
      </c>
      <c r="E39" s="6" t="inlineStr">
        <is>
          <t>Transparent Black</t>
        </is>
      </c>
      <c r="F39" s="6" t="inlineStr">
        <is>
          <t>Realme Neo8</t>
        </is>
      </c>
      <c r="G39" s="6" t="inlineStr">
        <is>
          <t>No</t>
        </is>
      </c>
      <c r="H39" s="6" t="inlineStr">
        <is>
          <t>Link</t>
        </is>
      </c>
      <c r="I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J39" s="7" t="inlineStr">
        <is>
          <t>Realme Neo8/TPU/sku/RN8-TPU-BK-M.jpg</t>
        </is>
      </c>
      <c r="K39" s="8" t="n">
        <v>133</v>
      </c>
      <c r="L39" s="8" t="n">
        <v>10</v>
      </c>
      <c r="M39" s="8" t="n">
        <v>50</v>
      </c>
      <c r="N39" s="8" t="n">
        <v>5</v>
      </c>
      <c r="O39" s="8" t="n">
        <v>11.5</v>
      </c>
      <c r="P39" s="8" t="n">
        <v>20</v>
      </c>
      <c r="Q39" s="8" t="n">
        <v>0</v>
      </c>
      <c r="R39" s="8">
        <f>SUM(K39:Q39)</f>
        <v/>
      </c>
      <c r="S39" s="8">
        <f>IF(R39&lt;300, R39*1.4, IF(R39&lt;400, R39*1.33, R39*1.25))</f>
        <v/>
      </c>
      <c r="T39" s="9">
        <f>INT(S39/100)*100 + IF(MOD(ROUND(S39,0),100)&lt;25, 0, IF(MOD(ROUND(S39,0),100)&lt;=74, 49, 99))</f>
        <v/>
      </c>
      <c r="U39" s="8">
        <f>IF(T39&lt;300, 0, MIN(99, IF(T39&lt;500, T39*7%, IF(T39&lt;700, T39*12%, T39*15%))))</f>
        <v/>
      </c>
    </row>
    <row r="40">
      <c r="A40" s="2" t="inlineStr">
        <is>
          <t>H600L-SIL-BK-M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Moiré Black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Link</t>
        </is>
      </c>
      <c r="I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0" s="3" t="inlineStr">
        <is>
          <t>Honor 600 lite/Silicone/sku/H600L-SIL-BK-M.jpg</t>
        </is>
      </c>
      <c r="K40" s="4" t="n">
        <v>186.2</v>
      </c>
      <c r="L40" s="4" t="n">
        <v>10</v>
      </c>
      <c r="M40" s="4" t="n">
        <v>156</v>
      </c>
      <c r="N40" s="4" t="n">
        <v>5</v>
      </c>
      <c r="O40" s="4" t="n">
        <v>11.5</v>
      </c>
      <c r="P40" s="4" t="n">
        <v>20</v>
      </c>
      <c r="Q40" s="4" t="n">
        <v>0</v>
      </c>
      <c r="R40" s="4">
        <f>SUM(K40:Q40)</f>
        <v/>
      </c>
      <c r="S40" s="4">
        <f>IF(R40&lt;300, R40*1.4, IF(R40&lt;400, R40*1.33, R40*1.25))</f>
        <v/>
      </c>
      <c r="T40" s="5">
        <f>INT(S40/100)*100 + IF(MOD(ROUND(S40,0),100)&lt;25, 0, IF(MOD(ROUND(S40,0),100)&lt;=74, 49, 99))</f>
        <v/>
      </c>
      <c r="U40" s="4">
        <f>IF(T40&lt;300, 0, MIN(99, IF(T40&lt;500, T40*7%, IF(T40&lt;700, T40*12%, T40*15%))))</f>
        <v/>
      </c>
    </row>
    <row r="41">
      <c r="A41" s="6" t="inlineStr">
        <is>
          <t>H600L-SIL-BL-M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Gentleman Blue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Link</t>
        </is>
      </c>
      <c r="I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1" s="7" t="inlineStr">
        <is>
          <t>Honor 600 lite/Silicone/sku/H600L-SIL-BL-M.jpg</t>
        </is>
      </c>
      <c r="K41" s="8" t="n">
        <v>186.2</v>
      </c>
      <c r="L41" s="8" t="n">
        <v>10</v>
      </c>
      <c r="M41" s="8" t="n">
        <v>156</v>
      </c>
      <c r="N41" s="8" t="n">
        <v>5</v>
      </c>
      <c r="O41" s="8" t="n">
        <v>11.5</v>
      </c>
      <c r="P41" s="8" t="n">
        <v>20</v>
      </c>
      <c r="Q41" s="8" t="n">
        <v>0</v>
      </c>
      <c r="R41" s="8">
        <f>SUM(K41:Q41)</f>
        <v/>
      </c>
      <c r="S41" s="8">
        <f>IF(R41&lt;300, R41*1.4, IF(R41&lt;400, R41*1.33, R41*1.25))</f>
        <v/>
      </c>
      <c r="T41" s="9">
        <f>INT(S41/100)*100 + IF(MOD(ROUND(S41,0),100)&lt;25, 0, IF(MOD(ROUND(S41,0),100)&lt;=74, 49, 99))</f>
        <v/>
      </c>
      <c r="U41" s="8">
        <f>IF(T41&lt;300, 0, MIN(99, IF(T41&lt;500, T41*7%, IF(T41&lt;700, T41*12%, T41*15%))))</f>
        <v/>
      </c>
    </row>
    <row r="42">
      <c r="A42" s="2" t="inlineStr">
        <is>
          <t>H600L-SIL-GN-M</t>
        </is>
      </c>
      <c r="B42" s="3" t="inlineStr">
        <is>
          <t>Magnetic Liquid Silicone Case for Honor 600 Lite – Moiré Texture Anti-Scratch Soft Protective Back Cover</t>
        </is>
      </c>
      <c r="C42" s="3" t="inlineStr">
        <is>
          <t>Suitable for Honor 600Lite Foreign Version Mobile Phone Case Protective Cover with Built-In Magnetic Suction, Lightweight, Fine Holes, and Hard Shell</t>
        </is>
      </c>
      <c r="D42" s="2" t="inlineStr">
        <is>
          <t>Silicone</t>
        </is>
      </c>
      <c r="E42" s="2" t="inlineStr">
        <is>
          <t>Dark Night Green</t>
        </is>
      </c>
      <c r="F42" s="2" t="inlineStr">
        <is>
          <t>Honor 600 lite</t>
        </is>
      </c>
      <c r="G42" s="2" t="inlineStr">
        <is>
          <t>No</t>
        </is>
      </c>
      <c r="H42" s="2" t="inlineStr">
        <is>
          <t>Link</t>
        </is>
      </c>
      <c r="I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2" s="3" t="inlineStr">
        <is>
          <t>Honor 600 lite/Silicone/sku/H600L-SIL-GN-M.jpg</t>
        </is>
      </c>
      <c r="K42" s="4" t="n">
        <v>186.2</v>
      </c>
      <c r="L42" s="4" t="n">
        <v>10</v>
      </c>
      <c r="M42" s="4" t="n">
        <v>156</v>
      </c>
      <c r="N42" s="4" t="n">
        <v>5</v>
      </c>
      <c r="O42" s="4" t="n">
        <v>11.5</v>
      </c>
      <c r="P42" s="4" t="n">
        <v>20</v>
      </c>
      <c r="Q42" s="4" t="n">
        <v>0</v>
      </c>
      <c r="R42" s="4">
        <f>SUM(K42:Q42)</f>
        <v/>
      </c>
      <c r="S42" s="4">
        <f>IF(R42&lt;300, R42*1.4, IF(R42&lt;400, R42*1.33, R42*1.25))</f>
        <v/>
      </c>
      <c r="T42" s="5">
        <f>INT(S42/100)*100 + IF(MOD(ROUND(S42,0),100)&lt;25, 0, IF(MOD(ROUND(S42,0),100)&lt;=74, 49, 99))</f>
        <v/>
      </c>
      <c r="U42" s="4">
        <f>IF(T42&lt;300, 0, MIN(99, IF(T42&lt;500, T42*7%, IF(T42&lt;700, T42*12%, T42*15%))))</f>
        <v/>
      </c>
    </row>
    <row r="43">
      <c r="A43" s="6" t="inlineStr">
        <is>
          <t>H600L-SIL-RD-M</t>
        </is>
      </c>
      <c r="B43" s="7" t="inlineStr">
        <is>
          <t>Magnetic Liquid Silicone Case for Honor 600 Lite – Moiré Texture Anti-Scratch Soft Protective Back Cover</t>
        </is>
      </c>
      <c r="C43" s="7" t="inlineStr">
        <is>
          <t>Suitable for Honor 600Lite Foreign Version Mobile Phone Case Protective Cover with Built-In Magnetic Suction, Lightweight, Fine Holes, and Hard Shell</t>
        </is>
      </c>
      <c r="D43" s="6" t="inlineStr">
        <is>
          <t>Silicone</t>
        </is>
      </c>
      <c r="E43" s="6" t="inlineStr">
        <is>
          <t>Charming Red</t>
        </is>
      </c>
      <c r="F43" s="6" t="inlineStr">
        <is>
          <t>Honor 600 lite</t>
        </is>
      </c>
      <c r="G43" s="6" t="inlineStr">
        <is>
          <t>No</t>
        </is>
      </c>
      <c r="H43" s="6" t="inlineStr">
        <is>
          <t>Link</t>
        </is>
      </c>
      <c r="I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J43" s="7" t="inlineStr">
        <is>
          <t>Honor 600 lite/Silicone/sku/H600L-SIL-RD-M.jpg</t>
        </is>
      </c>
      <c r="K43" s="8" t="n">
        <v>186.2</v>
      </c>
      <c r="L43" s="8" t="n">
        <v>10</v>
      </c>
      <c r="M43" s="8" t="n">
        <v>156</v>
      </c>
      <c r="N43" s="8" t="n">
        <v>5</v>
      </c>
      <c r="O43" s="8" t="n">
        <v>11.5</v>
      </c>
      <c r="P43" s="8" t="n">
        <v>20</v>
      </c>
      <c r="Q43" s="8" t="n">
        <v>0</v>
      </c>
      <c r="R43" s="8">
        <f>SUM(K43:Q43)</f>
        <v/>
      </c>
      <c r="S43" s="8">
        <f>IF(R43&lt;300, R43*1.4, IF(R43&lt;400, R43*1.33, R43*1.25))</f>
        <v/>
      </c>
      <c r="T43" s="9">
        <f>INT(S43/100)*100 + IF(MOD(ROUND(S43,0),100)&lt;25, 0, IF(MOD(ROUND(S43,0),100)&lt;=74, 49, 99))</f>
        <v/>
      </c>
      <c r="U43" s="8">
        <f>IF(T43&lt;300, 0, MIN(99, IF(T43&lt;500, T43*7%, IF(T43&lt;700, T43*12%, T43*15%))))</f>
        <v/>
      </c>
    </row>
    <row r="44">
      <c r="A44" s="2" t="inlineStr">
        <is>
          <t>HX80I-TPU-SV-E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Silver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Link</t>
        </is>
      </c>
      <c r="I44" s="3" t="inlineStr">
        <is>
          <t>https://moveon.global/BD_en/products/0000000125WCGFR9-sangjieshi-suitable-for-honor-x80promax-mobile-phone-case-x70-with-stand-x60pro-transparent-x50-full-cover-airbag/1AD8341131122671</t>
        </is>
      </c>
      <c r="J44" s="3" t="inlineStr">
        <is>
          <t>Honor X80i/TPU/sku/HX80I-TPU-SV-E.jpg</t>
        </is>
      </c>
      <c r="K44" s="4" t="n">
        <v>234.08</v>
      </c>
      <c r="L44" s="4" t="n">
        <v>10</v>
      </c>
      <c r="M44" s="4" t="n">
        <v>50</v>
      </c>
      <c r="N44" s="4" t="n">
        <v>5</v>
      </c>
      <c r="O44" s="4" t="n">
        <v>11.5</v>
      </c>
      <c r="P44" s="4" t="n">
        <v>20</v>
      </c>
      <c r="Q44" s="4" t="n">
        <v>0</v>
      </c>
      <c r="R44" s="4">
        <f>SUM(K44:Q44)</f>
        <v/>
      </c>
      <c r="S44" s="4">
        <f>IF(R44&lt;300, R44*1.4, IF(R44&lt;400, R44*1.33, R44*1.25))</f>
        <v/>
      </c>
      <c r="T44" s="5">
        <f>INT(S44/100)*100 + IF(MOD(ROUND(S44,0),100)&lt;25, 0, IF(MOD(ROUND(S44,0),100)&lt;=74, 49, 99))</f>
        <v/>
      </c>
      <c r="U44" s="4">
        <f>IF(T44&lt;300, 0, MIN(99, IF(T44&lt;500, T44*7%, IF(T44&lt;700, T44*12%, T44*15%))))</f>
        <v/>
      </c>
    </row>
    <row r="45">
      <c r="A45" s="6" t="inlineStr">
        <is>
          <t>HX80I-TPU-BK-E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Black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Link</t>
        </is>
      </c>
      <c r="I45" s="7" t="inlineStr">
        <is>
          <t>https://moveon.global/BD_en/products/0000000125WCGFR9-sangjieshi-suitable-for-honor-x80promax-mobile-phone-case-x70-with-stand-x60pro-transparent-x50-full-cover-airbag/1AD8341131122671</t>
        </is>
      </c>
      <c r="J45" s="7" t="inlineStr">
        <is>
          <t>Honor X80i/TPU/sku/HX80I-TPU-BK-E.jpg</t>
        </is>
      </c>
      <c r="K45" s="8" t="n">
        <v>234.08</v>
      </c>
      <c r="L45" s="8" t="n">
        <v>10</v>
      </c>
      <c r="M45" s="8" t="n">
        <v>50</v>
      </c>
      <c r="N45" s="8" t="n">
        <v>5</v>
      </c>
      <c r="O45" s="8" t="n">
        <v>11.5</v>
      </c>
      <c r="P45" s="8" t="n">
        <v>20</v>
      </c>
      <c r="Q45" s="8" t="n">
        <v>0</v>
      </c>
      <c r="R45" s="8">
        <f>SUM(K45:Q45)</f>
        <v/>
      </c>
      <c r="S45" s="8">
        <f>IF(R45&lt;300, R45*1.4, IF(R45&lt;400, R45*1.33, R45*1.25))</f>
        <v/>
      </c>
      <c r="T45" s="9">
        <f>INT(S45/100)*100 + IF(MOD(ROUND(S45,0),100)&lt;25, 0, IF(MOD(ROUND(S45,0),100)&lt;=74, 49, 99))</f>
        <v/>
      </c>
      <c r="U45" s="8">
        <f>IF(T45&lt;300, 0, MIN(99, IF(T45&lt;500, T45*7%, IF(T45&lt;700, T45*12%, T45*15%))))</f>
        <v/>
      </c>
    </row>
    <row r="46">
      <c r="A46" s="2" t="inlineStr">
        <is>
          <t>HX80I-TPU-PR-E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Purple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Link</t>
        </is>
      </c>
      <c r="I46" s="3" t="inlineStr">
        <is>
          <t>https://moveon.global/BD_en/products/0000000125WCGFR9-sangjieshi-suitable-for-honor-x80promax-mobile-phone-case-x70-with-stand-x60pro-transparent-x50-full-cover-airbag/1AD8341131122671</t>
        </is>
      </c>
      <c r="J46" s="3" t="inlineStr">
        <is>
          <t>Honor X80i/TPU/sku/HX80I-TPU-PR-E.jpg</t>
        </is>
      </c>
      <c r="K46" s="4" t="n">
        <v>234.08</v>
      </c>
      <c r="L46" s="4" t="n">
        <v>10</v>
      </c>
      <c r="M46" s="4" t="n">
        <v>50</v>
      </c>
      <c r="N46" s="4" t="n">
        <v>5</v>
      </c>
      <c r="O46" s="4" t="n">
        <v>11.5</v>
      </c>
      <c r="P46" s="4" t="n">
        <v>20</v>
      </c>
      <c r="Q46" s="4" t="n">
        <v>0</v>
      </c>
      <c r="R46" s="4">
        <f>SUM(K46:Q46)</f>
        <v/>
      </c>
      <c r="S46" s="4">
        <f>IF(R46&lt;300, R46*1.4, IF(R46&lt;400, R46*1.33, R46*1.25))</f>
        <v/>
      </c>
      <c r="T46" s="5">
        <f>INT(S46/100)*100 + IF(MOD(ROUND(S46,0),100)&lt;25, 0, IF(MOD(ROUND(S46,0),100)&lt;=74, 49, 99))</f>
        <v/>
      </c>
      <c r="U46" s="4">
        <f>IF(T46&lt;300, 0, MIN(99, IF(T46&lt;500, T46*7%, IF(T46&lt;700, T46*12%, T46*15%))))</f>
        <v/>
      </c>
    </row>
    <row r="47">
      <c r="A47" s="6" t="inlineStr">
        <is>
          <t>HX80I-TPU-BL-E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Blue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Link</t>
        </is>
      </c>
      <c r="I47" s="7" t="inlineStr">
        <is>
          <t>https://moveon.global/BD_en/products/0000000125WCGFR9-sangjieshi-suitable-for-honor-x80promax-mobile-phone-case-x70-with-stand-x60pro-transparent-x50-full-cover-airbag/1AD8341131122671</t>
        </is>
      </c>
      <c r="J47" s="7" t="inlineStr">
        <is>
          <t>Honor X80i/TPU/sku/HX80I-TPU-BL-E.jpg</t>
        </is>
      </c>
      <c r="K47" s="8" t="n">
        <v>234.08</v>
      </c>
      <c r="L47" s="8" t="n">
        <v>10</v>
      </c>
      <c r="M47" s="8" t="n">
        <v>50</v>
      </c>
      <c r="N47" s="8" t="n">
        <v>5</v>
      </c>
      <c r="O47" s="8" t="n">
        <v>11.5</v>
      </c>
      <c r="P47" s="8" t="n">
        <v>20</v>
      </c>
      <c r="Q47" s="8" t="n">
        <v>0</v>
      </c>
      <c r="R47" s="8">
        <f>SUM(K47:Q47)</f>
        <v/>
      </c>
      <c r="S47" s="8">
        <f>IF(R47&lt;300, R47*1.4, IF(R47&lt;400, R47*1.33, R47*1.25))</f>
        <v/>
      </c>
      <c r="T47" s="9">
        <f>INT(S47/100)*100 + IF(MOD(ROUND(S47,0),100)&lt;25, 0, IF(MOD(ROUND(S47,0),100)&lt;=74, 49, 99))</f>
        <v/>
      </c>
      <c r="U47" s="8">
        <f>IF(T47&lt;300, 0, MIN(99, IF(T47&lt;500, T47*7%, IF(T47&lt;700, T47*12%, T47*15%))))</f>
        <v/>
      </c>
    </row>
    <row r="48">
      <c r="A48" s="2" t="inlineStr">
        <is>
          <t>HX80I-TPU-PK-E</t>
        </is>
      </c>
      <c r="B48" s="3" t="inlineStr">
        <is>
          <t>Invisible Kickstand Airbag Shockproof Case for Honor X80i / X70 / X60 Pro – Clear Hybrid TPU Protective Back Cover</t>
        </is>
      </c>
      <c r="C48" s="3" t="inlineStr">
        <is>
          <t>Sangjieshi Suitable for Honor X80Promax Mobile Phone Case X70 with Stand X60Pro Transparent X50 Full-Cover Airbag</t>
        </is>
      </c>
      <c r="D48" s="2" t="inlineStr">
        <is>
          <t>TPU</t>
        </is>
      </c>
      <c r="E48" s="2" t="inlineStr">
        <is>
          <t>Pink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Link</t>
        </is>
      </c>
      <c r="I48" s="3" t="inlineStr">
        <is>
          <t>https://moveon.global/BD_en/products/0000000125WCGFR9-sangjieshi-suitable-for-honor-x80promax-mobile-phone-case-x70-with-stand-x60pro-transparent-x50-full-cover-airbag/1AD8341131122671</t>
        </is>
      </c>
      <c r="J48" s="3" t="inlineStr">
        <is>
          <t>Honor X80i/TPU/sku/HX80I-TPU-PK-E.jpg</t>
        </is>
      </c>
      <c r="K48" s="4" t="n">
        <v>234.08</v>
      </c>
      <c r="L48" s="4" t="n">
        <v>10</v>
      </c>
      <c r="M48" s="4" t="n">
        <v>50</v>
      </c>
      <c r="N48" s="4" t="n">
        <v>5</v>
      </c>
      <c r="O48" s="4" t="n">
        <v>11.5</v>
      </c>
      <c r="P48" s="4" t="n">
        <v>20</v>
      </c>
      <c r="Q48" s="4" t="n">
        <v>0</v>
      </c>
      <c r="R48" s="4">
        <f>SUM(K48:Q48)</f>
        <v/>
      </c>
      <c r="S48" s="4">
        <f>IF(R48&lt;300, R48*1.4, IF(R48&lt;400, R48*1.33, R48*1.25))</f>
        <v/>
      </c>
      <c r="T48" s="5">
        <f>INT(S48/100)*100 + IF(MOD(ROUND(S48,0),100)&lt;25, 0, IF(MOD(ROUND(S48,0),100)&lt;=74, 49, 99))</f>
        <v/>
      </c>
      <c r="U48" s="4">
        <f>IF(T48&lt;300, 0, MIN(99, IF(T48&lt;500, T48*7%, IF(T48&lt;700, T48*12%, T48*15%))))</f>
        <v/>
      </c>
    </row>
    <row r="49">
      <c r="A49" s="6" t="inlineStr">
        <is>
          <t>HX80I-TPU-GN-E</t>
        </is>
      </c>
      <c r="B49" s="7" t="inlineStr">
        <is>
          <t>Invisible Kickstand Airbag Shockproof Case for Honor X80i / X70 / X60 Pro – Clear Hybrid TPU Protective Back Cover</t>
        </is>
      </c>
      <c r="C49" s="7" t="inlineStr">
        <is>
          <t>Sangjieshi Suitable for Honor X80Promax Mobile Phone Case X70 with Stand X60Pro Transparent X50 Full-Cover Airbag</t>
        </is>
      </c>
      <c r="D49" s="6" t="inlineStr">
        <is>
          <t>TPU</t>
        </is>
      </c>
      <c r="E49" s="6" t="inlineStr">
        <is>
          <t>Green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Link</t>
        </is>
      </c>
      <c r="I49" s="7" t="inlineStr">
        <is>
          <t>https://moveon.global/BD_en/products/0000000125WCGFR9-sangjieshi-suitable-for-honor-x80promax-mobile-phone-case-x70-with-stand-x60pro-transparent-x50-full-cover-airbag/1AD8341131122671</t>
        </is>
      </c>
      <c r="J49" s="7" t="inlineStr">
        <is>
          <t>Honor X80i/TPU/sku/HX80I-TPU-GN-E.jpg</t>
        </is>
      </c>
      <c r="K49" s="8" t="n">
        <v>234.08</v>
      </c>
      <c r="L49" s="8" t="n">
        <v>10</v>
      </c>
      <c r="M49" s="8" t="n">
        <v>50</v>
      </c>
      <c r="N49" s="8" t="n">
        <v>5</v>
      </c>
      <c r="O49" s="8" t="n">
        <v>11.5</v>
      </c>
      <c r="P49" s="8" t="n">
        <v>20</v>
      </c>
      <c r="Q49" s="8" t="n">
        <v>0</v>
      </c>
      <c r="R49" s="8">
        <f>SUM(K49:Q49)</f>
        <v/>
      </c>
      <c r="S49" s="8">
        <f>IF(R49&lt;300, R49*1.4, IF(R49&lt;400, R49*1.33, R49*1.25))</f>
        <v/>
      </c>
      <c r="T49" s="9">
        <f>INT(S49/100)*100 + IF(MOD(ROUND(S49,0),100)&lt;25, 0, IF(MOD(ROUND(S49,0),100)&lt;=74, 49, 99))</f>
        <v/>
      </c>
      <c r="U49" s="8">
        <f>IF(T49&lt;300, 0, MIN(99, IF(T49&lt;500, T49*7%, IF(T49&lt;700, T49*12%, T49*15%))))</f>
        <v/>
      </c>
    </row>
    <row r="50">
      <c r="A50" s="2" t="inlineStr">
        <is>
          <t>HX80I-PC-GY-M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Titanium Gray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Link</t>
        </is>
      </c>
      <c r="I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0" s="3" t="inlineStr">
        <is>
          <t>Honor x80i/Hard PC/sku/HX80I-PC-GY-M.jpg</t>
        </is>
      </c>
      <c r="K50" s="4" t="n">
        <v>478.8</v>
      </c>
      <c r="L50" s="4" t="n">
        <v>10</v>
      </c>
      <c r="M50" s="4" t="n">
        <v>50</v>
      </c>
      <c r="N50" s="4" t="n">
        <v>5</v>
      </c>
      <c r="O50" s="4" t="n">
        <v>11.5</v>
      </c>
      <c r="P50" s="4" t="n">
        <v>20</v>
      </c>
      <c r="Q50" s="4" t="n">
        <v>0</v>
      </c>
      <c r="R50" s="4">
        <f>SUM(K50:Q50)</f>
        <v/>
      </c>
      <c r="S50" s="4">
        <f>IF(R50&lt;300, R50*1.4, IF(R50&lt;400, R50*1.33, R50*1.25))</f>
        <v/>
      </c>
      <c r="T50" s="5">
        <f>INT(S50/100)*100 + IF(MOD(ROUND(S50,0),100)&lt;25, 0, IF(MOD(ROUND(S50,0),100)&lt;=74, 49, 99))</f>
        <v/>
      </c>
      <c r="U50" s="4">
        <f>IF(T50&lt;300, 0, MIN(99, IF(T50&lt;500, T50*7%, IF(T50&lt;700, T50*12%, T50*15%))))</f>
        <v/>
      </c>
    </row>
    <row r="51">
      <c r="A51" s="6" t="inlineStr">
        <is>
          <t>HX80I-PC-WT-M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Silver White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Link</t>
        </is>
      </c>
      <c r="I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1" s="7" t="inlineStr">
        <is>
          <t>Honor x80i/Hard PC/sku/HX80I-PC-WT-M.jpg</t>
        </is>
      </c>
      <c r="K51" s="8" t="n">
        <v>478.8</v>
      </c>
      <c r="L51" s="8" t="n">
        <v>10</v>
      </c>
      <c r="M51" s="8" t="n">
        <v>50</v>
      </c>
      <c r="N51" s="8" t="n">
        <v>5</v>
      </c>
      <c r="O51" s="8" t="n">
        <v>11.5</v>
      </c>
      <c r="P51" s="8" t="n">
        <v>20</v>
      </c>
      <c r="Q51" s="8" t="n">
        <v>0</v>
      </c>
      <c r="R51" s="8">
        <f>SUM(K51:Q51)</f>
        <v/>
      </c>
      <c r="S51" s="8">
        <f>IF(R51&lt;300, R51*1.4, IF(R51&lt;400, R51*1.33, R51*1.25))</f>
        <v/>
      </c>
      <c r="T51" s="9">
        <f>INT(S51/100)*100 + IF(MOD(ROUND(S51,0),100)&lt;25, 0, IF(MOD(ROUND(S51,0),100)&lt;=74, 49, 99))</f>
        <v/>
      </c>
      <c r="U51" s="8">
        <f>IF(T51&lt;300, 0, MIN(99, IF(T51&lt;500, T51*7%, IF(T51&lt;700, T51*12%, T51*15%))))</f>
        <v/>
      </c>
    </row>
    <row r="52">
      <c r="A52" s="2" t="inlineStr">
        <is>
          <t>HX80I-PC-GN-M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Feitianqing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Link</t>
        </is>
      </c>
      <c r="I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2" s="3" t="inlineStr">
        <is>
          <t>Honor x80i/Hard PC/sku/HX80I-PC-GN-M.jpg</t>
        </is>
      </c>
      <c r="K52" s="4" t="n">
        <v>478.8</v>
      </c>
      <c r="L52" s="4" t="n">
        <v>10</v>
      </c>
      <c r="M52" s="4" t="n">
        <v>50</v>
      </c>
      <c r="N52" s="4" t="n">
        <v>5</v>
      </c>
      <c r="O52" s="4" t="n">
        <v>11.5</v>
      </c>
      <c r="P52" s="4" t="n">
        <v>20</v>
      </c>
      <c r="Q52" s="4" t="n">
        <v>0</v>
      </c>
      <c r="R52" s="4">
        <f>SUM(K52:Q52)</f>
        <v/>
      </c>
      <c r="S52" s="4">
        <f>IF(R52&lt;300, R52*1.4, IF(R52&lt;400, R52*1.33, R52*1.25))</f>
        <v/>
      </c>
      <c r="T52" s="5">
        <f>INT(S52/100)*100 + IF(MOD(ROUND(S52,0),100)&lt;25, 0, IF(MOD(ROUND(S52,0),100)&lt;=74, 49, 99))</f>
        <v/>
      </c>
      <c r="U52" s="4">
        <f>IF(T52&lt;300, 0, MIN(99, IF(T52&lt;500, T52*7%, IF(T52&lt;700, T52*12%, T52*15%))))</f>
        <v/>
      </c>
    </row>
    <row r="53">
      <c r="A53" s="6" t="inlineStr">
        <is>
          <t>HX80I-PC-GD-M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Desert Gold</t>
        </is>
      </c>
      <c r="F53" s="6" t="inlineStr">
        <is>
          <t>Honor x80i</t>
        </is>
      </c>
      <c r="G53" s="6" t="inlineStr">
        <is>
          <t>No</t>
        </is>
      </c>
      <c r="H53" s="6" t="inlineStr">
        <is>
          <t>Link</t>
        </is>
      </c>
      <c r="I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3" s="7" t="inlineStr">
        <is>
          <t>Honor x80i/Hard PC/sku/HX80I-PC-GD-M.jpg</t>
        </is>
      </c>
      <c r="K53" s="8" t="n">
        <v>478.8</v>
      </c>
      <c r="L53" s="8" t="n">
        <v>10</v>
      </c>
      <c r="M53" s="8" t="n">
        <v>50</v>
      </c>
      <c r="N53" s="8" t="n">
        <v>5</v>
      </c>
      <c r="O53" s="8" t="n">
        <v>11.5</v>
      </c>
      <c r="P53" s="8" t="n">
        <v>20</v>
      </c>
      <c r="Q53" s="8" t="n">
        <v>0</v>
      </c>
      <c r="R53" s="8">
        <f>SUM(K53:Q53)</f>
        <v/>
      </c>
      <c r="S53" s="8">
        <f>IF(R53&lt;300, R53*1.4, IF(R53&lt;400, R53*1.33, R53*1.25))</f>
        <v/>
      </c>
      <c r="T53" s="9">
        <f>INT(S53/100)*100 + IF(MOD(ROUND(S53,0),100)&lt;25, 0, IF(MOD(ROUND(S53,0),100)&lt;=74, 49, 99))</f>
        <v/>
      </c>
      <c r="U53" s="8">
        <f>IF(T53&lt;300, 0, MIN(99, IF(T53&lt;500, T53*7%, IF(T53&lt;700, T53*12%, T53*15%))))</f>
        <v/>
      </c>
    </row>
    <row r="54">
      <c r="A54" s="2" t="inlineStr">
        <is>
          <t>HX80I-PC-BK-M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Graphite Black</t>
        </is>
      </c>
      <c r="F54" s="2" t="inlineStr">
        <is>
          <t>Honor x80i</t>
        </is>
      </c>
      <c r="G54" s="2" t="inlineStr">
        <is>
          <t>No</t>
        </is>
      </c>
      <c r="H54" s="2" t="inlineStr">
        <is>
          <t>Link</t>
        </is>
      </c>
      <c r="I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4" s="3" t="inlineStr">
        <is>
          <t>Honor x80i/Hard PC/sku/HX80I-PC-BK-M.jpg</t>
        </is>
      </c>
      <c r="K54" s="4" t="n">
        <v>478.8</v>
      </c>
      <c r="L54" s="4" t="n">
        <v>10</v>
      </c>
      <c r="M54" s="4" t="n">
        <v>50</v>
      </c>
      <c r="N54" s="4" t="n">
        <v>5</v>
      </c>
      <c r="O54" s="4" t="n">
        <v>11.5</v>
      </c>
      <c r="P54" s="4" t="n">
        <v>20</v>
      </c>
      <c r="Q54" s="4" t="n">
        <v>0</v>
      </c>
      <c r="R54" s="4">
        <f>SUM(K54:Q54)</f>
        <v/>
      </c>
      <c r="S54" s="4">
        <f>IF(R54&lt;300, R54*1.4, IF(R54&lt;400, R54*1.33, R54*1.25))</f>
        <v/>
      </c>
      <c r="T54" s="5">
        <f>INT(S54/100)*100 + IF(MOD(ROUND(S54,0),100)&lt;25, 0, IF(MOD(ROUND(S54,0),100)&lt;=74, 49, 99))</f>
        <v/>
      </c>
      <c r="U54" s="4">
        <f>IF(T54&lt;300, 0, MIN(99, IF(T54&lt;500, T54*7%, IF(T54&lt;700, T54*12%, T54*15%))))</f>
        <v/>
      </c>
    </row>
    <row r="55">
      <c r="A55" s="6" t="inlineStr">
        <is>
          <t>H600L-PC-GY-M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Titanium Gray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Link</t>
        </is>
      </c>
      <c r="I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5" s="7" t="inlineStr">
        <is>
          <t>Honor 600lite foreign version/Hard PC/sku/H600L-PC-GY-M.jpg</t>
        </is>
      </c>
      <c r="K55" s="8" t="n">
        <v>478.8</v>
      </c>
      <c r="L55" s="8" t="n">
        <v>10</v>
      </c>
      <c r="M55" s="8" t="n">
        <v>50</v>
      </c>
      <c r="N55" s="8" t="n">
        <v>5</v>
      </c>
      <c r="O55" s="8" t="n">
        <v>11.5</v>
      </c>
      <c r="P55" s="8" t="n">
        <v>20</v>
      </c>
      <c r="Q55" s="8" t="n">
        <v>0</v>
      </c>
      <c r="R55" s="8">
        <f>SUM(K55:Q55)</f>
        <v/>
      </c>
      <c r="S55" s="8">
        <f>IF(R55&lt;300, R55*1.4, IF(R55&lt;400, R55*1.33, R55*1.25))</f>
        <v/>
      </c>
      <c r="T55" s="9">
        <f>INT(S55/100)*100 + IF(MOD(ROUND(S55,0),100)&lt;25, 0, IF(MOD(ROUND(S55,0),100)&lt;=74, 49, 99))</f>
        <v/>
      </c>
      <c r="U55" s="8">
        <f>IF(T55&lt;300, 0, MIN(99, IF(T55&lt;500, T55*7%, IF(T55&lt;700, T55*12%, T55*15%))))</f>
        <v/>
      </c>
    </row>
    <row r="56">
      <c r="A56" s="2" t="inlineStr">
        <is>
          <t>H600L-PC-WT-M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Silver White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Link</t>
        </is>
      </c>
      <c r="I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6" s="3" t="inlineStr">
        <is>
          <t>Honor 600lite foreign version/Hard PC/sku/H600L-PC-WT-M.jpg</t>
        </is>
      </c>
      <c r="K56" s="4" t="n">
        <v>478.8</v>
      </c>
      <c r="L56" s="4" t="n">
        <v>10</v>
      </c>
      <c r="M56" s="4" t="n">
        <v>50</v>
      </c>
      <c r="N56" s="4" t="n">
        <v>5</v>
      </c>
      <c r="O56" s="4" t="n">
        <v>11.5</v>
      </c>
      <c r="P56" s="4" t="n">
        <v>20</v>
      </c>
      <c r="Q56" s="4" t="n">
        <v>0</v>
      </c>
      <c r="R56" s="4">
        <f>SUM(K56:Q56)</f>
        <v/>
      </c>
      <c r="S56" s="4">
        <f>IF(R56&lt;300, R56*1.4, IF(R56&lt;400, R56*1.33, R56*1.25))</f>
        <v/>
      </c>
      <c r="T56" s="5">
        <f>INT(S56/100)*100 + IF(MOD(ROUND(S56,0),100)&lt;25, 0, IF(MOD(ROUND(S56,0),100)&lt;=74, 49, 99))</f>
        <v/>
      </c>
      <c r="U56" s="4">
        <f>IF(T56&lt;300, 0, MIN(99, IF(T56&lt;500, T56*7%, IF(T56&lt;700, T56*12%, T56*15%))))</f>
        <v/>
      </c>
    </row>
    <row r="57">
      <c r="A57" s="6" t="inlineStr">
        <is>
          <t>H600L-PC-GN-M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Feitianqing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Link</t>
        </is>
      </c>
      <c r="I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7" s="7" t="inlineStr">
        <is>
          <t>Honor 600lite foreign version/Hard PC/sku/H600L-PC-GN-M.jpg</t>
        </is>
      </c>
      <c r="K57" s="8" t="n">
        <v>478.8</v>
      </c>
      <c r="L57" s="8" t="n">
        <v>10</v>
      </c>
      <c r="M57" s="8" t="n">
        <v>50</v>
      </c>
      <c r="N57" s="8" t="n">
        <v>5</v>
      </c>
      <c r="O57" s="8" t="n">
        <v>11.5</v>
      </c>
      <c r="P57" s="8" t="n">
        <v>20</v>
      </c>
      <c r="Q57" s="8" t="n">
        <v>0</v>
      </c>
      <c r="R57" s="8">
        <f>SUM(K57:Q57)</f>
        <v/>
      </c>
      <c r="S57" s="8">
        <f>IF(R57&lt;300, R57*1.4, IF(R57&lt;400, R57*1.33, R57*1.25))</f>
        <v/>
      </c>
      <c r="T57" s="9">
        <f>INT(S57/100)*100 + IF(MOD(ROUND(S57,0),100)&lt;25, 0, IF(MOD(ROUND(S57,0),100)&lt;=74, 49, 99))</f>
        <v/>
      </c>
      <c r="U57" s="8">
        <f>IF(T57&lt;300, 0, MIN(99, IF(T57&lt;500, T57*7%, IF(T57&lt;700, T57*12%, T57*15%))))</f>
        <v/>
      </c>
    </row>
    <row r="58">
      <c r="A58" s="2" t="inlineStr">
        <is>
          <t>H600L-PC-GD-M</t>
        </is>
      </c>
      <c r="B58" s="3" t="inlineStr">
        <is>
          <t>Micro-Matte Magnetic Shockproof Case for Honor 600 Lite / Honor X80i – Ultra-Slim Hard Protective Back Cover</t>
        </is>
      </c>
      <c r="C58" s="3" t="inlineStr">
        <is>
          <t>Suitable for Huawei Honor X80I Mobile Phone Case, Honor 600Lite Micro-Matte Magnetic Protective Cover, All-Inclusive Anti-Fall Cover</t>
        </is>
      </c>
      <c r="D58" s="2" t="inlineStr">
        <is>
          <t>Hard PC</t>
        </is>
      </c>
      <c r="E58" s="2" t="inlineStr">
        <is>
          <t>Desert Gold</t>
        </is>
      </c>
      <c r="F58" s="2" t="inlineStr">
        <is>
          <t>Honor 600lite foreign version</t>
        </is>
      </c>
      <c r="G58" s="2" t="inlineStr">
        <is>
          <t>No</t>
        </is>
      </c>
      <c r="H58" s="2" t="inlineStr">
        <is>
          <t>Link</t>
        </is>
      </c>
      <c r="I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8" s="3" t="inlineStr">
        <is>
          <t>Honor 600lite foreign version/Hard PC/sku/H600L-PC-GD-M.jpg</t>
        </is>
      </c>
      <c r="K58" s="4" t="n">
        <v>478.8</v>
      </c>
      <c r="L58" s="4" t="n">
        <v>10</v>
      </c>
      <c r="M58" s="4" t="n">
        <v>50</v>
      </c>
      <c r="N58" s="4" t="n">
        <v>5</v>
      </c>
      <c r="O58" s="4" t="n">
        <v>11.5</v>
      </c>
      <c r="P58" s="4" t="n">
        <v>20</v>
      </c>
      <c r="Q58" s="4" t="n">
        <v>0</v>
      </c>
      <c r="R58" s="4">
        <f>SUM(K58:Q58)</f>
        <v/>
      </c>
      <c r="S58" s="4">
        <f>IF(R58&lt;300, R58*1.4, IF(R58&lt;400, R58*1.33, R58*1.25))</f>
        <v/>
      </c>
      <c r="T58" s="5">
        <f>INT(S58/100)*100 + IF(MOD(ROUND(S58,0),100)&lt;25, 0, IF(MOD(ROUND(S58,0),100)&lt;=74, 49, 99))</f>
        <v/>
      </c>
      <c r="U58" s="4">
        <f>IF(T58&lt;300, 0, MIN(99, IF(T58&lt;500, T58*7%, IF(T58&lt;700, T58*12%, T58*15%))))</f>
        <v/>
      </c>
    </row>
    <row r="59">
      <c r="A59" s="6" t="inlineStr">
        <is>
          <t>H600L-PC-BK-M</t>
        </is>
      </c>
      <c r="B59" s="7" t="inlineStr">
        <is>
          <t>Micro-Matte Magnetic Shockproof Case for Honor 600 Lite / Honor X80i – Ultra-Slim Hard Protective Back Cover</t>
        </is>
      </c>
      <c r="C59" s="7" t="inlineStr">
        <is>
          <t>Suitable for Huawei Honor X80I Mobile Phone Case, Honor 600Lite Micro-Matte Magnetic Protective Cover, All-Inclusive Anti-Fall Cover</t>
        </is>
      </c>
      <c r="D59" s="6" t="inlineStr">
        <is>
          <t>Hard PC</t>
        </is>
      </c>
      <c r="E59" s="6" t="inlineStr">
        <is>
          <t>Graphite Black</t>
        </is>
      </c>
      <c r="F59" s="6" t="inlineStr">
        <is>
          <t>Honor 600lite foreign version</t>
        </is>
      </c>
      <c r="G59" s="6" t="inlineStr">
        <is>
          <t>No</t>
        </is>
      </c>
      <c r="H59" s="6" t="inlineStr">
        <is>
          <t>Link</t>
        </is>
      </c>
      <c r="I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J59" s="7" t="inlineStr">
        <is>
          <t>Honor 600lite foreign version/Hard PC/sku/H600L-PC-BK-M.jpg</t>
        </is>
      </c>
      <c r="K59" s="8" t="n">
        <v>478.8</v>
      </c>
      <c r="L59" s="8" t="n">
        <v>10</v>
      </c>
      <c r="M59" s="8" t="n">
        <v>50</v>
      </c>
      <c r="N59" s="8" t="n">
        <v>5</v>
      </c>
      <c r="O59" s="8" t="n">
        <v>11.5</v>
      </c>
      <c r="P59" s="8" t="n">
        <v>20</v>
      </c>
      <c r="Q59" s="8" t="n">
        <v>0</v>
      </c>
      <c r="R59" s="8">
        <f>SUM(K59:Q59)</f>
        <v/>
      </c>
      <c r="S59" s="8">
        <f>IF(R59&lt;300, R59*1.4, IF(R59&lt;400, R59*1.33, R59*1.25))</f>
        <v/>
      </c>
      <c r="T59" s="9">
        <f>INT(S59/100)*100 + IF(MOD(ROUND(S59,0),100)&lt;25, 0, IF(MOD(ROUND(S59,0),100)&lt;=74, 49, 99))</f>
        <v/>
      </c>
      <c r="U59" s="8">
        <f>IF(T59&lt;300, 0, MIN(99, IF(T59&lt;500, T59*7%, IF(T59&lt;700, T59*12%, T59*15%))))</f>
        <v/>
      </c>
    </row>
    <row r="60">
      <c r="A60" s="2" t="inlineStr">
        <is>
          <t>RN8-PC-RK-M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Peak Rock Color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Link</t>
        </is>
      </c>
      <c r="I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0" s="3" t="inlineStr">
        <is>
          <t>Realme Neo8/Hard PC/sku/RN8-PC-RK-M.jpg</t>
        </is>
      </c>
      <c r="K60" s="4" t="n">
        <v>367.08</v>
      </c>
      <c r="L60" s="4" t="n">
        <v>10</v>
      </c>
      <c r="M60" s="4" t="n">
        <v>31.2</v>
      </c>
      <c r="N60" s="4" t="n">
        <v>5</v>
      </c>
      <c r="O60" s="4" t="n">
        <v>11.5</v>
      </c>
      <c r="P60" s="4" t="n">
        <v>20</v>
      </c>
      <c r="Q60" s="4" t="n">
        <v>0</v>
      </c>
      <c r="R60" s="4">
        <f>SUM(K60:Q60)</f>
        <v/>
      </c>
      <c r="S60" s="4">
        <f>IF(R60&lt;300, R60*1.4, IF(R60&lt;400, R60*1.33, R60*1.25))</f>
        <v/>
      </c>
      <c r="T60" s="5">
        <f>INT(S60/100)*100 + IF(MOD(ROUND(S60,0),100)&lt;25, 0, IF(MOD(ROUND(S60,0),100)&lt;=74, 49, 99))</f>
        <v/>
      </c>
      <c r="U60" s="4">
        <f>IF(T60&lt;300, 0, MIN(99, IF(T60&lt;500, T60*7%, IF(T60&lt;700, T60*12%, T60*15%))))</f>
        <v/>
      </c>
    </row>
    <row r="61">
      <c r="A61" s="6" t="inlineStr">
        <is>
          <t>RN8-PC-GD-M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Desert Gold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Link</t>
        </is>
      </c>
      <c r="I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1" s="7" t="inlineStr">
        <is>
          <t>Realme Neo8/Hard PC/sku/RN8-PC-GD-M.jpg</t>
        </is>
      </c>
      <c r="K61" s="8" t="n">
        <v>367.08</v>
      </c>
      <c r="L61" s="8" t="n">
        <v>10</v>
      </c>
      <c r="M61" s="8" t="n">
        <v>31.2</v>
      </c>
      <c r="N61" s="8" t="n">
        <v>5</v>
      </c>
      <c r="O61" s="8" t="n">
        <v>11.5</v>
      </c>
      <c r="P61" s="8" t="n">
        <v>20</v>
      </c>
      <c r="Q61" s="8" t="n">
        <v>0</v>
      </c>
      <c r="R61" s="8">
        <f>SUM(K61:Q61)</f>
        <v/>
      </c>
      <c r="S61" s="8">
        <f>IF(R61&lt;300, R61*1.4, IF(R61&lt;400, R61*1.33, R61*1.25))</f>
        <v/>
      </c>
      <c r="T61" s="9">
        <f>INT(S61/100)*100 + IF(MOD(ROUND(S61,0),100)&lt;25, 0, IF(MOD(ROUND(S61,0),100)&lt;=74, 49, 99))</f>
        <v/>
      </c>
      <c r="U61" s="8">
        <f>IF(T61&lt;300, 0, MIN(99, IF(T61&lt;500, T61*7%, IF(T61&lt;700, T61*12%, T61*15%))))</f>
        <v/>
      </c>
    </row>
    <row r="62">
      <c r="A62" s="2" t="inlineStr">
        <is>
          <t>RN8-PC-BL-M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Wave Blue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Link</t>
        </is>
      </c>
      <c r="I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2" s="3" t="inlineStr">
        <is>
          <t>Realme Neo8/Hard PC/sku/RN8-PC-BL-M.jpg</t>
        </is>
      </c>
      <c r="K62" s="4" t="n">
        <v>367.08</v>
      </c>
      <c r="L62" s="4" t="n">
        <v>10</v>
      </c>
      <c r="M62" s="4" t="n">
        <v>31.2</v>
      </c>
      <c r="N62" s="4" t="n">
        <v>5</v>
      </c>
      <c r="O62" s="4" t="n">
        <v>11.5</v>
      </c>
      <c r="P62" s="4" t="n">
        <v>20</v>
      </c>
      <c r="Q62" s="4" t="n">
        <v>0</v>
      </c>
      <c r="R62" s="4">
        <f>SUM(K62:Q62)</f>
        <v/>
      </c>
      <c r="S62" s="4">
        <f>IF(R62&lt;300, R62*1.4, IF(R62&lt;400, R62*1.33, R62*1.25))</f>
        <v/>
      </c>
      <c r="T62" s="5">
        <f>INT(S62/100)*100 + IF(MOD(ROUND(S62,0),100)&lt;25, 0, IF(MOD(ROUND(S62,0),100)&lt;=74, 49, 99))</f>
        <v/>
      </c>
      <c r="U62" s="4">
        <f>IF(T62&lt;300, 0, MIN(99, IF(T62&lt;500, T62*7%, IF(T62&lt;700, T62*12%, T62*15%))))</f>
        <v/>
      </c>
    </row>
    <row r="63">
      <c r="A63" s="6" t="inlineStr">
        <is>
          <t>RN8-PC-PK-M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Sakura Pink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Link</t>
        </is>
      </c>
      <c r="I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3" s="7" t="inlineStr">
        <is>
          <t>Realme Neo8/Hard PC/sku/RN8-PC-PK-M.jpg</t>
        </is>
      </c>
      <c r="K63" s="8" t="n">
        <v>367.08</v>
      </c>
      <c r="L63" s="8" t="n">
        <v>10</v>
      </c>
      <c r="M63" s="8" t="n">
        <v>31.2</v>
      </c>
      <c r="N63" s="8" t="n">
        <v>5</v>
      </c>
      <c r="O63" s="8" t="n">
        <v>11.5</v>
      </c>
      <c r="P63" s="8" t="n">
        <v>20</v>
      </c>
      <c r="Q63" s="8" t="n">
        <v>0</v>
      </c>
      <c r="R63" s="8">
        <f>SUM(K63:Q63)</f>
        <v/>
      </c>
      <c r="S63" s="8">
        <f>IF(R63&lt;300, R63*1.4, IF(R63&lt;400, R63*1.33, R63*1.25))</f>
        <v/>
      </c>
      <c r="T63" s="9">
        <f>INT(S63/100)*100 + IF(MOD(ROUND(S63,0),100)&lt;25, 0, IF(MOD(ROUND(S63,0),100)&lt;=74, 49, 99))</f>
        <v/>
      </c>
      <c r="U63" s="8">
        <f>IF(T63&lt;300, 0, MIN(99, IF(T63&lt;500, T63*7%, IF(T63&lt;700, T63*12%, T63*15%))))</f>
        <v/>
      </c>
    </row>
    <row r="64">
      <c r="A64" s="2" t="inlineStr">
        <is>
          <t>RN8-PC-CG-M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Carbon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Link</t>
        </is>
      </c>
      <c r="I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4" s="3" t="inlineStr">
        <is>
          <t>Realme Neo8/Hard PC/sku/RN8-PC-CG-M.jpg</t>
        </is>
      </c>
      <c r="K64" s="4" t="n">
        <v>367.08</v>
      </c>
      <c r="L64" s="4" t="n">
        <v>10</v>
      </c>
      <c r="M64" s="4" t="n">
        <v>31.2</v>
      </c>
      <c r="N64" s="4" t="n">
        <v>5</v>
      </c>
      <c r="O64" s="4" t="n">
        <v>11.5</v>
      </c>
      <c r="P64" s="4" t="n">
        <v>20</v>
      </c>
      <c r="Q64" s="4" t="n">
        <v>0</v>
      </c>
      <c r="R64" s="4">
        <f>SUM(K64:Q64)</f>
        <v/>
      </c>
      <c r="S64" s="4">
        <f>IF(R64&lt;300, R64*1.4, IF(R64&lt;400, R64*1.33, R64*1.25))</f>
        <v/>
      </c>
      <c r="T64" s="5">
        <f>INT(S64/100)*100 + IF(MOD(ROUND(S64,0),100)&lt;25, 0, IF(MOD(ROUND(S64,0),100)&lt;=74, 49, 99))</f>
        <v/>
      </c>
      <c r="U64" s="4">
        <f>IF(T64&lt;300, 0, MIN(99, IF(T64&lt;500, T64*7%, IF(T64&lt;700, T64*12%, T64*15%))))</f>
        <v/>
      </c>
    </row>
    <row r="65">
      <c r="A65" s="6" t="inlineStr">
        <is>
          <t>RN8-PC-PR-M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Sunset Purple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Link</t>
        </is>
      </c>
      <c r="I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5" s="7" t="inlineStr">
        <is>
          <t>Realme Neo8/Hard PC/sku/RN8-PC-PR-M.jpg</t>
        </is>
      </c>
      <c r="K65" s="8" t="n">
        <v>367.08</v>
      </c>
      <c r="L65" s="8" t="n">
        <v>10</v>
      </c>
      <c r="M65" s="8" t="n">
        <v>31.2</v>
      </c>
      <c r="N65" s="8" t="n">
        <v>5</v>
      </c>
      <c r="O65" s="8" t="n">
        <v>11.5</v>
      </c>
      <c r="P65" s="8" t="n">
        <v>20</v>
      </c>
      <c r="Q65" s="8" t="n">
        <v>0</v>
      </c>
      <c r="R65" s="8">
        <f>SUM(K65:Q65)</f>
        <v/>
      </c>
      <c r="S65" s="8">
        <f>IF(R65&lt;300, R65*1.4, IF(R65&lt;400, R65*1.33, R65*1.25))</f>
        <v/>
      </c>
      <c r="T65" s="9">
        <f>INT(S65/100)*100 + IF(MOD(ROUND(S65,0),100)&lt;25, 0, IF(MOD(ROUND(S65,0),100)&lt;=74, 49, 99))</f>
        <v/>
      </c>
      <c r="U65" s="8">
        <f>IF(T65&lt;300, 0, MIN(99, IF(T65&lt;500, T65*7%, IF(T65&lt;700, T65*12%, T65*15%))))</f>
        <v/>
      </c>
    </row>
    <row r="66">
      <c r="A66" s="2" t="inlineStr">
        <is>
          <t>RN8-PC-TG-M</t>
        </is>
      </c>
      <c r="B66" s="3" t="inlineStr">
        <is>
          <t>Magnetic Heat Dissipation Matte Back Cover for Realme GT Neo 8 / Neo 7 – Ultra Thin Breathable Cooling Case with Ring Magnet</t>
        </is>
      </c>
      <c r="C66" s="3" t="inlineStr">
        <is>
          <t>Suitable for Realmeneo8 Mobile Phone Case, New Model, Realme Realmeneo7 Ultra-Thin Heat Dissipation Matte Fine Ring Magnetic Suction</t>
        </is>
      </c>
      <c r="D66" s="2" t="inlineStr">
        <is>
          <t>Hard PC</t>
        </is>
      </c>
      <c r="E66" s="2" t="inlineStr">
        <is>
          <t>Titanium Gray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Link</t>
        </is>
      </c>
      <c r="I66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6" s="3" t="inlineStr">
        <is>
          <t>Realme Neo8/Hard PC/sku/RN8-PC-TG-M.jpg</t>
        </is>
      </c>
      <c r="K66" s="4" t="n">
        <v>367.08</v>
      </c>
      <c r="L66" s="4" t="n">
        <v>10</v>
      </c>
      <c r="M66" s="4" t="n">
        <v>31.2</v>
      </c>
      <c r="N66" s="4" t="n">
        <v>5</v>
      </c>
      <c r="O66" s="4" t="n">
        <v>11.5</v>
      </c>
      <c r="P66" s="4" t="n">
        <v>20</v>
      </c>
      <c r="Q66" s="4" t="n">
        <v>0</v>
      </c>
      <c r="R66" s="4">
        <f>SUM(K66:Q66)</f>
        <v/>
      </c>
      <c r="S66" s="4">
        <f>IF(R66&lt;300, R66*1.4, IF(R66&lt;400, R66*1.33, R66*1.25))</f>
        <v/>
      </c>
      <c r="T66" s="5">
        <f>INT(S66/100)*100 + IF(MOD(ROUND(S66,0),100)&lt;25, 0, IF(MOD(ROUND(S66,0),100)&lt;=74, 49, 99))</f>
        <v/>
      </c>
      <c r="U66" s="4">
        <f>IF(T66&lt;300, 0, MIN(99, IF(T66&lt;500, T66*7%, IF(T66&lt;700, T66*12%, T66*15%))))</f>
        <v/>
      </c>
    </row>
    <row r="67">
      <c r="A67" s="6" t="inlineStr">
        <is>
          <t>RN8-PC-BK-M</t>
        </is>
      </c>
      <c r="B67" s="7" t="inlineStr">
        <is>
          <t>Magnetic Heat Dissipation Matte Back Cover for Realme GT Neo 8 / Neo 7 – Ultra Thin Breathable Cooling Case with Ring Magnet</t>
        </is>
      </c>
      <c r="C67" s="7" t="inlineStr">
        <is>
          <t>Suitable for Realmeneo8 Mobile Phone Case, New Model, Realme Realmeneo7 Ultra-Thin Heat Dissipation Matte Fine Ring Magnetic Suction</t>
        </is>
      </c>
      <c r="D67" s="6" t="inlineStr">
        <is>
          <t>Hard PC</t>
        </is>
      </c>
      <c r="E67" s="6" t="inlineStr">
        <is>
          <t>Classic Black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Link</t>
        </is>
      </c>
      <c r="I67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J67" s="7" t="inlineStr">
        <is>
          <t>Realme Neo8/Hard PC/sku/RN8-PC-BK-M.jpg</t>
        </is>
      </c>
      <c r="K67" s="8" t="n">
        <v>367.08</v>
      </c>
      <c r="L67" s="8" t="n">
        <v>10</v>
      </c>
      <c r="M67" s="8" t="n">
        <v>31.2</v>
      </c>
      <c r="N67" s="8" t="n">
        <v>5</v>
      </c>
      <c r="O67" s="8" t="n">
        <v>11.5</v>
      </c>
      <c r="P67" s="8" t="n">
        <v>20</v>
      </c>
      <c r="Q67" s="8" t="n">
        <v>0</v>
      </c>
      <c r="R67" s="8">
        <f>SUM(K67:Q67)</f>
        <v/>
      </c>
      <c r="S67" s="8">
        <f>IF(R67&lt;300, R67*1.4, IF(R67&lt;400, R67*1.33, R67*1.25))</f>
        <v/>
      </c>
      <c r="T67" s="9">
        <f>INT(S67/100)*100 + IF(MOD(ROUND(S67,0),100)&lt;25, 0, IF(MOD(ROUND(S67,0),100)&lt;=74, 49, 99))</f>
        <v/>
      </c>
      <c r="U67" s="8">
        <f>IF(T67&lt;300, 0, MIN(99, IF(T67&lt;500, T67*7%, IF(T67&lt;700, T67*12%, T67*15%))))</f>
        <v/>
      </c>
    </row>
    <row r="68">
      <c r="A68" s="2" t="inlineStr">
        <is>
          <t>RN8-SIL-BK-M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Obsidian Black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Link</t>
        </is>
      </c>
      <c r="I68" s="3" t="inlineStr">
        <is>
          <t>https://moveon.global/BD_en/products/0000000MV152HHVF-suitable-for-realme-neo8-mobile-phone-case-new-creative-graphene-cooling-airbag-anti-fall-silicone-case-realmeneo8/1AD8330600315865</t>
        </is>
      </c>
      <c r="J68" s="3" t="inlineStr">
        <is>
          <t>Realme Neo8/Silicone/sku/RN8-SIL-BK-M.jpg</t>
        </is>
      </c>
      <c r="K68" s="4" t="n">
        <v>363.66</v>
      </c>
      <c r="L68" s="4" t="n">
        <v>10</v>
      </c>
      <c r="M68" s="4" t="n">
        <v>1.56</v>
      </c>
      <c r="N68" s="4" t="n">
        <v>5</v>
      </c>
      <c r="O68" s="4" t="n">
        <v>11.5</v>
      </c>
      <c r="P68" s="4" t="n">
        <v>20</v>
      </c>
      <c r="Q68" s="4" t="n">
        <v>0</v>
      </c>
      <c r="R68" s="4">
        <f>SUM(K68:Q68)</f>
        <v/>
      </c>
      <c r="S68" s="4">
        <f>IF(R68&lt;300, R68*1.4, IF(R68&lt;400, R68*1.33, R68*1.25))</f>
        <v/>
      </c>
      <c r="T68" s="5">
        <f>INT(S68/100)*100 + IF(MOD(ROUND(S68,0),100)&lt;25, 0, IF(MOD(ROUND(S68,0),100)&lt;=74, 49, 99))</f>
        <v/>
      </c>
      <c r="U68" s="4">
        <f>IF(T68&lt;300, 0, MIN(99, IF(T68&lt;500, T68*7%, IF(T68&lt;700, T68*12%, T68*15%))))</f>
        <v/>
      </c>
    </row>
    <row r="69">
      <c r="A69" s="6" t="inlineStr">
        <is>
          <t>RN8-SIL-GY-M</t>
        </is>
      </c>
      <c r="B69" s="7" t="inlineStr">
        <is>
          <t>Magnetic Graphene Cooling Silicone Case for Realme GT Neo 8 – Snowflake Heat Dissipation Airbag Anti-Drop Back Cover</t>
        </is>
      </c>
      <c r="C69" s="7" t="inlineStr">
        <is>
          <t>Suitable for Realme Neo8 Mobile Phone Case, New Creative Graphene Cooling Airbag Anti-Fall Silicone Case Realmeneo8</t>
        </is>
      </c>
      <c r="D69" s="6" t="inlineStr">
        <is>
          <t>Silicone</t>
        </is>
      </c>
      <c r="E69" s="6" t="inlineStr">
        <is>
          <t>Matte Gray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Link</t>
        </is>
      </c>
      <c r="I69" s="7" t="inlineStr">
        <is>
          <t>https://moveon.global/BD_en/products/0000000MV152HHVF-suitable-for-realme-neo8-mobile-phone-case-new-creative-graphene-cooling-airbag-anti-fall-silicone-case-realmeneo8/1AD8330600315865</t>
        </is>
      </c>
      <c r="J69" s="7" t="inlineStr">
        <is>
          <t>Realme Neo8/Silicone/sku/RN8-SIL-GY-M.jpg</t>
        </is>
      </c>
      <c r="K69" s="8" t="n">
        <v>363.66</v>
      </c>
      <c r="L69" s="8" t="n">
        <v>10</v>
      </c>
      <c r="M69" s="8" t="n">
        <v>1.56</v>
      </c>
      <c r="N69" s="8" t="n">
        <v>5</v>
      </c>
      <c r="O69" s="8" t="n">
        <v>11.5</v>
      </c>
      <c r="P69" s="8" t="n">
        <v>20</v>
      </c>
      <c r="Q69" s="8" t="n">
        <v>0</v>
      </c>
      <c r="R69" s="8">
        <f>SUM(K69:Q69)</f>
        <v/>
      </c>
      <c r="S69" s="8">
        <f>IF(R69&lt;300, R69*1.4, IF(R69&lt;400, R69*1.33, R69*1.25))</f>
        <v/>
      </c>
      <c r="T69" s="9">
        <f>INT(S69/100)*100 + IF(MOD(ROUND(S69,0),100)&lt;25, 0, IF(MOD(ROUND(S69,0),100)&lt;=74, 49, 99))</f>
        <v/>
      </c>
      <c r="U69" s="8">
        <f>IF(T69&lt;300, 0, MIN(99, IF(T69&lt;500, T69*7%, IF(T69&lt;700, T69*12%, T69*15%))))</f>
        <v/>
      </c>
    </row>
    <row r="70">
      <c r="A70" s="2" t="inlineStr">
        <is>
          <t>RN8-SIL-OR-M</t>
        </is>
      </c>
      <c r="B70" s="3" t="inlineStr">
        <is>
          <t>Magnetic Graphene Cooling Silicone Case for Realme GT Neo 8 – Snowflake Heat Dissipation Airbag Anti-Drop Back Cover</t>
        </is>
      </c>
      <c r="C70" s="3" t="inlineStr">
        <is>
          <t>Suitable for Realme Neo8 Mobile Phone Case, New Creative Graphene Cooling Airbag Anti-Fall Silicone Case Realmeneo8</t>
        </is>
      </c>
      <c r="D70" s="2" t="inlineStr">
        <is>
          <t>Silicone</t>
        </is>
      </c>
      <c r="E70" s="2" t="inlineStr">
        <is>
          <t>Terracotta Orange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Link</t>
        </is>
      </c>
      <c r="I70" s="3" t="inlineStr">
        <is>
          <t>https://moveon.global/BD_en/products/0000000MV152HHVF-suitable-for-realme-neo8-mobile-phone-case-new-creative-graphene-cooling-airbag-anti-fall-silicone-case-realmeneo8/1AD8330600315865</t>
        </is>
      </c>
      <c r="J70" s="3" t="inlineStr">
        <is>
          <t>Realme Neo8/Silicone/sku/RN8-SIL-OR-M.jpg</t>
        </is>
      </c>
      <c r="K70" s="4" t="n">
        <v>363.66</v>
      </c>
      <c r="L70" s="4" t="n">
        <v>10</v>
      </c>
      <c r="M70" s="4" t="n">
        <v>1.56</v>
      </c>
      <c r="N70" s="4" t="n">
        <v>5</v>
      </c>
      <c r="O70" s="4" t="n">
        <v>11.5</v>
      </c>
      <c r="P70" s="4" t="n">
        <v>20</v>
      </c>
      <c r="Q70" s="4" t="n">
        <v>0</v>
      </c>
      <c r="R70" s="4">
        <f>SUM(K70:Q70)</f>
        <v/>
      </c>
      <c r="S70" s="4">
        <f>IF(R70&lt;300, R70*1.4, IF(R70&lt;400, R70*1.33, R70*1.25))</f>
        <v/>
      </c>
      <c r="T70" s="5">
        <f>INT(S70/100)*100 + IF(MOD(ROUND(S70,0),100)&lt;25, 0, IF(MOD(ROUND(S70,0),100)&lt;=74, 49, 99))</f>
        <v/>
      </c>
      <c r="U70" s="4">
        <f>IF(T70&lt;300, 0, MIN(99, IF(T70&lt;500, T70*7%, IF(T70&lt;700, T70*12%, T70*15%))))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2026-10-20T09:58:37Z</dcterms:created>
  <dcterms:modified xsi:type="dcterms:W3CDTF">2026-10-20T09:58:37Z</dcterms:modified>
</cp:coreProperties>
</file>