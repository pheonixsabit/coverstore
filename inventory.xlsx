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33" customWidth="1" min="3" max="3"/>
    <col width="37" customWidth="1" min="4" max="4"/>
    <col width="32" customWidth="1" min="5" max="5"/>
    <col width="12" customWidth="1" min="6" max="6"/>
    <col width="14" customWidth="1" min="7" max="7"/>
    <col width="48" customWidth="1" min="8" max="8"/>
    <col width="48" customWidth="1" min="9" max="9"/>
    <col width="16" customWidth="1" min="10" max="10"/>
    <col width="17" customWidth="1" min="11" max="11"/>
    <col width="15" customWidth="1" min="12" max="12"/>
    <col width="14" customWidth="1" min="13" max="13"/>
    <col width="12" customWidth="1" min="14" max="14"/>
    <col width="12" customWidth="1" min="15" max="15"/>
    <col width="12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Product Code</t>
        </is>
      </c>
      <c r="B1" s="1" t="inlineStr">
        <is>
          <t>Product Name</t>
        </is>
      </c>
      <c r="C1" s="1" t="inlineStr">
        <is>
          <t>Material</t>
        </is>
      </c>
      <c r="D1" s="1" t="inlineStr">
        <is>
          <t>Color</t>
        </is>
      </c>
      <c r="E1" s="1" t="inlineStr">
        <is>
          <t>Phone Model</t>
        </is>
      </c>
      <c r="F1" s="1" t="inlineStr">
        <is>
          <t>Warranty</t>
        </is>
      </c>
      <c r="G1" s="1" t="inlineStr">
        <is>
          <t>source link</t>
        </is>
      </c>
      <c r="H1" s="1" t="inlineStr">
        <is>
          <t>link</t>
        </is>
      </c>
      <c r="I1" s="1" t="inlineStr">
        <is>
          <t>Local Image Path</t>
        </is>
      </c>
      <c r="J1" s="1" t="inlineStr">
        <is>
          <t>product price</t>
        </is>
      </c>
      <c r="K1" s="1" t="inlineStr">
        <is>
          <t>china delivery</t>
        </is>
      </c>
      <c r="L1" s="1" t="inlineStr">
        <is>
          <t>air shipping</t>
        </is>
      </c>
      <c r="M1" s="1" t="inlineStr">
        <is>
          <t>bd delivery</t>
        </is>
      </c>
      <c r="N1" s="1" t="inlineStr">
        <is>
          <t>packaging</t>
        </is>
      </c>
      <c r="O1" s="1" t="inlineStr">
        <is>
          <t>printing</t>
        </is>
      </c>
      <c r="P1" s="1" t="inlineStr">
        <is>
          <t>other</t>
        </is>
      </c>
      <c r="Q1" s="1" t="inlineStr">
        <is>
          <t>landing cost</t>
        </is>
      </c>
      <c r="R1" s="1" t="inlineStr">
        <is>
          <t>margin</t>
        </is>
      </c>
      <c r="S1" s="1" t="inlineStr">
        <is>
          <t>sell price</t>
        </is>
      </c>
      <c r="T1" s="1" t="inlineStr">
        <is>
          <t>max discount</t>
        </is>
      </c>
    </row>
    <row r="2">
      <c r="A2" s="2" t="inlineStr">
        <is>
          <t>T4P-TG-BP-N</t>
        </is>
      </c>
      <c r="B2" s="3" t="inlineStr">
        <is>
          <t>Redmi Turbo 4 Pro Tempered Glass Protective Case – White Glass Shell</t>
        </is>
      </c>
      <c r="C2" s="2" t="inlineStr">
        <is>
          <t>Tempered glass</t>
        </is>
      </c>
      <c r="D2" s="2" t="inlineStr">
        <is>
          <t>Black - printed</t>
        </is>
      </c>
      <c r="E2" s="2" t="inlineStr">
        <is>
          <t>RedmiTurbo 4 Pro</t>
        </is>
      </c>
      <c r="F2" s="2" t="inlineStr">
        <is>
          <t>No</t>
        </is>
      </c>
      <c r="G2" s="2" t="inlineStr">
        <is>
          <t>Link</t>
        </is>
      </c>
      <c r="H2" s="3" t="inlineStr">
        <is>
          <t>https://moveon.global/BD_en/products/0000000TPCI3HYH3-jit-one-piece-dropshippingsuitable-for-xiaomi17-phone-case-independent-station-15spod13t-semi-hosted-civi4/1AD8305263723979</t>
        </is>
      </c>
      <c r="I2" s="3" t="inlineStr"/>
      <c r="J2" s="4" t="n">
        <v>133</v>
      </c>
      <c r="K2" s="4" t="n">
        <v>11.7</v>
      </c>
      <c r="L2" s="4" t="n">
        <v>54.6</v>
      </c>
      <c r="M2" s="4" t="n">
        <v>2.54</v>
      </c>
      <c r="N2" s="4" t="n">
        <v>11.5</v>
      </c>
      <c r="O2" s="4" t="n">
        <v>20</v>
      </c>
      <c r="P2" s="4" t="n">
        <v>0</v>
      </c>
      <c r="Q2" s="4">
        <f>SUM(J2:P2)</f>
        <v/>
      </c>
      <c r="R2" s="4">
        <f>IF(Q2&lt;300, Q2*1.4, IF(Q2&lt;400, Q2*1.33, Q2*1.25))</f>
        <v/>
      </c>
      <c r="S2" s="5">
        <f>INT(R2/100)*100 + IF(MOD(ROUND(R2,0),100)&lt;25, 0, IF(MOD(ROUND(R2,0),100)&lt;=74, 49, 99))</f>
        <v/>
      </c>
      <c r="T2" s="4">
        <f>IF(S2&lt;300, 0, MIN(99, IF(S2&lt;500, S2*7%, IF(S2&lt;700, S2*12%, S2*15%))))</f>
        <v/>
      </c>
    </row>
    <row r="3">
      <c r="A3" s="6" t="inlineStr">
        <is>
          <t>18PM-TPUM-CR-N</t>
        </is>
      </c>
      <c r="B3" s="7" t="inlineStr">
        <is>
          <t>iPhone 18 Pro Max Phone Case, Magnetic, Transparent, with Lens Film</t>
        </is>
      </c>
      <c r="C3" s="6" t="inlineStr">
        <is>
          <t>TPU</t>
        </is>
      </c>
      <c r="D3" s="6" t="inlineStr">
        <is>
          <t>Cherry Red Magnetic Style</t>
        </is>
      </c>
      <c r="E3" s="6" t="inlineStr">
        <is>
          <t>iPhone 18 Pro Max</t>
        </is>
      </c>
      <c r="F3" s="6" t="inlineStr">
        <is>
          <t>No</t>
        </is>
      </c>
      <c r="G3" s="6" t="inlineStr">
        <is>
          <t>Link</t>
        </is>
      </c>
      <c r="H3" s="7" t="inlineStr">
        <is>
          <t>https://moveon.global/BD_en/products/0000000P47PA9R8D-suitable-for-iphone-18-pro-max-phone-case-magnetic-transparent-with-apple-17-lens-film-full-coverage-and-a-simple-drop-resistant-design/1AD8373708955104</t>
        </is>
      </c>
      <c r="I3" s="7" t="inlineStr"/>
      <c r="J3" s="8" t="n">
        <v>345.8</v>
      </c>
      <c r="K3" s="8" t="n">
        <v>24.61</v>
      </c>
      <c r="L3" s="8" t="n">
        <v>35.01</v>
      </c>
      <c r="M3" s="8" t="n">
        <v>2.54</v>
      </c>
      <c r="N3" s="8" t="n">
        <v>11.5</v>
      </c>
      <c r="O3" s="8" t="n">
        <v>20</v>
      </c>
      <c r="P3" s="8" t="n">
        <v>0</v>
      </c>
      <c r="Q3" s="8">
        <f>SUM(J3:P3)</f>
        <v/>
      </c>
      <c r="R3" s="8">
        <f>IF(Q3&lt;300, Q3*1.4, IF(Q3&lt;400, Q3*1.33, Q3*1.25))</f>
        <v/>
      </c>
      <c r="S3" s="9">
        <f>INT(R3/100)*100 + IF(MOD(ROUND(R3,0),100)&lt;25, 0, IF(MOD(ROUND(R3,0),100)&lt;=74, 49, 99))</f>
        <v/>
      </c>
      <c r="T3" s="8">
        <f>IF(S3&lt;300, 0, MIN(99, IF(S3&lt;500, S3*7%, IF(S3&lt;700, S3*12%, S3*15%))))</f>
        <v/>
      </c>
    </row>
    <row r="4">
      <c r="A4" s="2" t="inlineStr">
        <is>
          <t>18PM-TPUM-SB-N</t>
        </is>
      </c>
      <c r="B4" s="3" t="inlineStr">
        <is>
          <t>iPhone 18 Pro Max Phone Case, Magnetic, Transparent, with Lens Film</t>
        </is>
      </c>
      <c r="C4" s="2" t="inlineStr">
        <is>
          <t>TPU</t>
        </is>
      </c>
      <c r="D4" s="2" t="inlineStr">
        <is>
          <t>Sky Blue Magnetic Style</t>
        </is>
      </c>
      <c r="E4" s="2" t="inlineStr">
        <is>
          <t>iPhone 18 Pro Max</t>
        </is>
      </c>
      <c r="F4" s="2" t="inlineStr">
        <is>
          <t>No</t>
        </is>
      </c>
      <c r="G4" s="2" t="inlineStr">
        <is>
          <t>Link</t>
        </is>
      </c>
      <c r="H4" s="3" t="inlineStr">
        <is>
          <t>https://moveon.global/BD_en/products/0000000P47PA9R8D-suitable-for-iphone-18-pro-max-phone-case-magnetic-transparent-with-apple-17-lens-film-full-coverage-and-a-simple-drop-resistant-design/1AD8373708955104</t>
        </is>
      </c>
      <c r="I4" s="3" t="inlineStr"/>
      <c r="J4" s="4" t="n">
        <v>345.8</v>
      </c>
      <c r="K4" s="4" t="n">
        <v>24.61</v>
      </c>
      <c r="L4" s="4" t="n">
        <v>35.01</v>
      </c>
      <c r="M4" s="4" t="n">
        <v>2.54</v>
      </c>
      <c r="N4" s="4" t="n">
        <v>11.5</v>
      </c>
      <c r="O4" s="4" t="n">
        <v>20</v>
      </c>
      <c r="P4" s="4" t="n">
        <v>0</v>
      </c>
      <c r="Q4" s="4">
        <f>SUM(J4:P4)</f>
        <v/>
      </c>
      <c r="R4" s="4">
        <f>IF(Q4&lt;300, Q4*1.4, IF(Q4&lt;400, Q4*1.33, Q4*1.25))</f>
        <v/>
      </c>
      <c r="S4" s="5">
        <f>INT(R4/100)*100 + IF(MOD(ROUND(R4,0),100)&lt;25, 0, IF(MOD(ROUND(R4,0),100)&lt;=74, 49, 99))</f>
        <v/>
      </c>
      <c r="T4" s="4">
        <f>IF(S4&lt;300, 0, MIN(99, IF(S4&lt;500, S4*7%, IF(S4&lt;700, S4*12%, S4*15%))))</f>
        <v/>
      </c>
    </row>
    <row r="5">
      <c r="A5" s="6" t="inlineStr">
        <is>
          <t>T4P-AC-BG-N</t>
        </is>
      </c>
      <c r="B5" s="7" t="inlineStr">
        <is>
          <t>Redmi Turbo 4 Pro Mecha style acrylic matte finish case</t>
        </is>
      </c>
      <c r="C5" s="6" t="inlineStr">
        <is>
          <t>Acrylic</t>
        </is>
      </c>
      <c r="D5" s="6" t="inlineStr">
        <is>
          <t>Black -Green</t>
        </is>
      </c>
      <c r="E5" s="6" t="inlineStr">
        <is>
          <t>Redmi Turbo 4 Pro</t>
        </is>
      </c>
      <c r="F5" s="6" t="inlineStr">
        <is>
          <t>No</t>
        </is>
      </c>
      <c r="G5" s="6" t="inlineStr">
        <is>
          <t>Link</t>
        </is>
      </c>
      <c r="H5" s="7" t="inlineStr">
        <is>
          <t>https://moveon.global/BD_en/products/0000000UYR39CZAL-cool-mecha-style-case-suitable-for-redmi-turbo-4-pro-new-mens-mecha-style-turbo-3-phone-case/1AD8366032951156</t>
        </is>
      </c>
      <c r="I5" s="7" t="inlineStr"/>
      <c r="J5" s="8" t="n">
        <v>159.6</v>
      </c>
      <c r="K5" s="8" t="n">
        <v>2.66</v>
      </c>
      <c r="L5" s="8" t="n">
        <v>51.2</v>
      </c>
      <c r="M5" s="8" t="n">
        <v>2.54</v>
      </c>
      <c r="N5" s="8" t="n">
        <v>11.5</v>
      </c>
      <c r="O5" s="8" t="n">
        <v>20</v>
      </c>
      <c r="P5" s="8" t="n">
        <v>0</v>
      </c>
      <c r="Q5" s="8">
        <f>SUM(J5:P5)</f>
        <v/>
      </c>
      <c r="R5" s="8">
        <f>IF(Q5&lt;300, Q5*1.4, IF(Q5&lt;400, Q5*1.33, Q5*1.25))</f>
        <v/>
      </c>
      <c r="S5" s="9">
        <f>INT(R5/100)*100 + IF(MOD(ROUND(R5,0),100)&lt;25, 0, IF(MOD(ROUND(R5,0),100)&lt;=74, 49, 99))</f>
        <v/>
      </c>
      <c r="T5" s="8">
        <f>IF(S5&lt;300, 0, MIN(99, IF(S5&lt;500, S5*7%, IF(S5&lt;700, S5*12%, S5*15%))))</f>
        <v/>
      </c>
    </row>
    <row r="6">
      <c r="A6" s="2" t="inlineStr">
        <is>
          <t>T4P-AC-BR-N</t>
        </is>
      </c>
      <c r="B6" s="3" t="inlineStr">
        <is>
          <t>Redmi Turbo 4 Pro Mecha style acrylic matte finish case</t>
        </is>
      </c>
      <c r="C6" s="2" t="inlineStr">
        <is>
          <t>Acrylic</t>
        </is>
      </c>
      <c r="D6" s="2" t="inlineStr">
        <is>
          <t>Black -Red</t>
        </is>
      </c>
      <c r="E6" s="2" t="inlineStr">
        <is>
          <t>Redmi Turbo 4 Pro</t>
        </is>
      </c>
      <c r="F6" s="2" t="inlineStr">
        <is>
          <t>No</t>
        </is>
      </c>
      <c r="G6" s="2" t="inlineStr">
        <is>
          <t>Link</t>
        </is>
      </c>
      <c r="H6" s="3" t="inlineStr">
        <is>
          <t>https://moveon.global/BD_en/products/0000000UYR39CZAL-cool-mecha-style-case-suitable-for-redmi-turbo-4-pro-new-mens-mecha-style-turbo-3-phone-case/1AD8366032951156</t>
        </is>
      </c>
      <c r="I6" s="3" t="inlineStr"/>
      <c r="J6" s="4" t="n">
        <v>159.6</v>
      </c>
      <c r="K6" s="4" t="n">
        <v>2.66</v>
      </c>
      <c r="L6" s="4" t="n">
        <v>51.2</v>
      </c>
      <c r="M6" s="4" t="n">
        <v>2.54</v>
      </c>
      <c r="N6" s="4" t="n">
        <v>11.5</v>
      </c>
      <c r="O6" s="4" t="n">
        <v>20</v>
      </c>
      <c r="P6" s="4" t="n">
        <v>0</v>
      </c>
      <c r="Q6" s="4">
        <f>SUM(J6:P6)</f>
        <v/>
      </c>
      <c r="R6" s="4">
        <f>IF(Q6&lt;300, Q6*1.4, IF(Q6&lt;400, Q6*1.33, Q6*1.25))</f>
        <v/>
      </c>
      <c r="S6" s="5">
        <f>INT(R6/100)*100 + IF(MOD(ROUND(R6,0),100)&lt;25, 0, IF(MOD(ROUND(R6,0),100)&lt;=74, 49, 99))</f>
        <v/>
      </c>
      <c r="T6" s="4">
        <f>IF(S6&lt;300, 0, MIN(99, IF(S6&lt;500, S6*7%, IF(S6&lt;700, S6*12%, S6*15%))))</f>
        <v/>
      </c>
    </row>
    <row r="7">
      <c r="A7" s="6" t="inlineStr">
        <is>
          <t>T4P-AC-BB-N</t>
        </is>
      </c>
      <c r="B7" s="7" t="inlineStr">
        <is>
          <t>Redmi  Turbo4 Pro Mecha style acrylic matte finish case</t>
        </is>
      </c>
      <c r="C7" s="6" t="inlineStr">
        <is>
          <t>Acrylic</t>
        </is>
      </c>
      <c r="D7" s="6" t="inlineStr">
        <is>
          <t>Black -Blue</t>
        </is>
      </c>
      <c r="E7" s="6" t="inlineStr">
        <is>
          <t>Redmi Turbo 4 Pro</t>
        </is>
      </c>
      <c r="F7" s="6" t="inlineStr">
        <is>
          <t>No</t>
        </is>
      </c>
      <c r="G7" s="6" t="inlineStr">
        <is>
          <t>Link</t>
        </is>
      </c>
      <c r="H7" s="7" t="inlineStr">
        <is>
          <t>https://moveon.global/BD_en/products/0000000UYR39CZAL-cool-mecha-style-case-suitable-for-redmi-turbo-4-pro-new-mens-mecha-style-turbo-3-phone-case/1AD8366032951156</t>
        </is>
      </c>
      <c r="I7" s="7" t="inlineStr"/>
      <c r="J7" s="8" t="n">
        <v>159.6</v>
      </c>
      <c r="K7" s="8" t="n">
        <v>2.66</v>
      </c>
      <c r="L7" s="8" t="n">
        <v>51.2</v>
      </c>
      <c r="M7" s="8" t="n">
        <v>2.54</v>
      </c>
      <c r="N7" s="8" t="n">
        <v>11.5</v>
      </c>
      <c r="O7" s="8" t="n">
        <v>20</v>
      </c>
      <c r="P7" s="8" t="n">
        <v>0</v>
      </c>
      <c r="Q7" s="8">
        <f>SUM(J7:P7)</f>
        <v/>
      </c>
      <c r="R7" s="8">
        <f>IF(Q7&lt;300, Q7*1.4, IF(Q7&lt;400, Q7*1.33, Q7*1.25))</f>
        <v/>
      </c>
      <c r="S7" s="9">
        <f>INT(R7/100)*100 + IF(MOD(ROUND(R7,0),100)&lt;25, 0, IF(MOD(ROUND(R7,0),100)&lt;=74, 49, 99))</f>
        <v/>
      </c>
      <c r="T7" s="8">
        <f>IF(S7&lt;300, 0, MIN(99, IF(S7&lt;500, S7*7%, IF(S7&lt;700, S7*12%, S7*15%))))</f>
        <v/>
      </c>
    </row>
    <row r="8">
      <c r="A8" s="2" t="inlineStr">
        <is>
          <t>T4-AC-BR-N</t>
        </is>
      </c>
      <c r="B8" s="3" t="inlineStr">
        <is>
          <t>Redmi Turbo  4 Mecha style acrylic matte finish case</t>
        </is>
      </c>
      <c r="C8" s="2" t="inlineStr">
        <is>
          <t>Acrylic</t>
        </is>
      </c>
      <c r="D8" s="2" t="inlineStr">
        <is>
          <t>Black -Red</t>
        </is>
      </c>
      <c r="E8" s="2" t="inlineStr">
        <is>
          <t>Redmi Turbo 4</t>
        </is>
      </c>
      <c r="F8" s="2" t="inlineStr">
        <is>
          <t>No</t>
        </is>
      </c>
      <c r="G8" s="2" t="inlineStr">
        <is>
          <t>Link</t>
        </is>
      </c>
      <c r="H8" s="3" t="inlineStr">
        <is>
          <t>https://moveon.global/BD_en/products/0000000UYR39CZAL-cool-mecha-style-case-suitable-for-redmi-turbo-4-pro-new-mens-mecha-style-turbo-3-phone-case/1AD8366032951156</t>
        </is>
      </c>
      <c r="I8" s="3" t="inlineStr"/>
      <c r="J8" s="4" t="n">
        <v>159.6</v>
      </c>
      <c r="K8" s="4" t="n">
        <v>2.66</v>
      </c>
      <c r="L8" s="4" t="n">
        <v>51.2</v>
      </c>
      <c r="M8" s="4" t="n">
        <v>2.54</v>
      </c>
      <c r="N8" s="4" t="n">
        <v>11.5</v>
      </c>
      <c r="O8" s="4" t="n">
        <v>20</v>
      </c>
      <c r="P8" s="4" t="n">
        <v>0</v>
      </c>
      <c r="Q8" s="4">
        <f>SUM(J8:P8)</f>
        <v/>
      </c>
      <c r="R8" s="4">
        <f>IF(Q8&lt;300, Q8*1.4, IF(Q8&lt;400, Q8*1.33, Q8*1.25))</f>
        <v/>
      </c>
      <c r="S8" s="5">
        <f>INT(R8/100)*100 + IF(MOD(ROUND(R8,0),100)&lt;25, 0, IF(MOD(ROUND(R8,0),100)&lt;=74, 49, 99))</f>
        <v/>
      </c>
      <c r="T8" s="4">
        <f>IF(S8&lt;300, 0, MIN(99, IF(S8&lt;500, S8*7%, IF(S8&lt;700, S8*12%, S8*15%))))</f>
        <v/>
      </c>
    </row>
    <row r="9">
      <c r="A9" s="6" t="inlineStr">
        <is>
          <t>T4-AC-BB-N</t>
        </is>
      </c>
      <c r="B9" s="7" t="inlineStr">
        <is>
          <t>Redmi Turbo 4 Mecha style acrylic matte finish case</t>
        </is>
      </c>
      <c r="C9" s="6" t="inlineStr">
        <is>
          <t>Acrylic</t>
        </is>
      </c>
      <c r="D9" s="6" t="inlineStr">
        <is>
          <t>Black -Blue</t>
        </is>
      </c>
      <c r="E9" s="6" t="inlineStr">
        <is>
          <t>Redmi Turbo 4</t>
        </is>
      </c>
      <c r="F9" s="6" t="inlineStr">
        <is>
          <t>No</t>
        </is>
      </c>
      <c r="G9" s="6" t="inlineStr"/>
      <c r="H9" s="7" t="inlineStr">
        <is>
          <t>https://moveon.global/BD_en/products/0000000UYR39CZAL-cool-mecha-style-case-suitable-for-redmi-turbo-4-pro-new-mens-mecha-style-turbo-3-phone-case/1AD8366032951156</t>
        </is>
      </c>
      <c r="I9" s="7" t="inlineStr"/>
      <c r="J9" s="8" t="n">
        <v>159.6</v>
      </c>
      <c r="K9" s="8" t="n">
        <v>2.66</v>
      </c>
      <c r="L9" s="8" t="n">
        <v>51.2</v>
      </c>
      <c r="M9" s="8" t="n">
        <v>2.54</v>
      </c>
      <c r="N9" s="8" t="n">
        <v>11.5</v>
      </c>
      <c r="O9" s="8" t="n">
        <v>20</v>
      </c>
      <c r="P9" s="8" t="n">
        <v>0</v>
      </c>
      <c r="Q9" s="8">
        <f>SUM(J9:P9)</f>
        <v/>
      </c>
      <c r="R9" s="8">
        <f>IF(Q9&lt;300, Q9*1.4, IF(Q9&lt;400, Q9*1.33, Q9*1.25))</f>
        <v/>
      </c>
      <c r="S9" s="9">
        <f>INT(R9/100)*100 + IF(MOD(ROUND(R9,0),100)&lt;25, 0, IF(MOD(ROUND(R9,0),100)&lt;=74, 49, 99))</f>
        <v/>
      </c>
      <c r="T9" s="8">
        <f>IF(S9&lt;300, 0, MIN(99, IF(S9&lt;500, S9*7%, IF(S9&lt;700, S9*12%, S9*15%))))</f>
        <v/>
      </c>
    </row>
    <row r="10">
      <c r="A10" s="2" t="inlineStr">
        <is>
          <t>S26U-SI-BP-N</t>
        </is>
      </c>
      <c r="B10" s="3" t="inlineStr">
        <is>
          <t>Samsung Galaxy S26 Series Spider Style Silicone Printed Case</t>
        </is>
      </c>
      <c r="C10" s="2" t="inlineStr">
        <is>
          <t>Silicone</t>
        </is>
      </c>
      <c r="D10" s="2" t="inlineStr">
        <is>
          <t>Black - printed</t>
        </is>
      </c>
      <c r="E10" s="2" t="inlineStr">
        <is>
          <t>Galaxy S26 Ultra</t>
        </is>
      </c>
      <c r="F10" s="2" t="inlineStr">
        <is>
          <t>No</t>
        </is>
      </c>
      <c r="G10" s="2" t="inlineStr">
        <is>
          <t>Link</t>
        </is>
      </c>
      <c r="H10" s="3" t="inlineStr">
        <is>
          <t>https://moveon.global/BD_en/products/0000000O0R0QIE2O-jit-one-piece-dropshippinggalaxys25-phone-case-semi-managed-s24-fully-managed-s24fe-aliexpress/1AD8304920318534</t>
        </is>
      </c>
      <c r="I10" s="3" t="inlineStr"/>
      <c r="J10" s="4" t="n">
        <v>106.4</v>
      </c>
      <c r="K10" s="4" t="n">
        <v>9.039999999999999</v>
      </c>
      <c r="L10" s="4" t="n">
        <v>54.6</v>
      </c>
      <c r="M10" s="4" t="n">
        <v>2.54</v>
      </c>
      <c r="N10" s="4" t="n">
        <v>11.5</v>
      </c>
      <c r="O10" s="4" t="n">
        <v>20</v>
      </c>
      <c r="P10" s="4" t="n">
        <v>0</v>
      </c>
      <c r="Q10" s="4">
        <f>SUM(J10:P10)</f>
        <v/>
      </c>
      <c r="R10" s="4">
        <f>IF(Q10&lt;300, Q10*1.4, IF(Q10&lt;400, Q10*1.33, Q10*1.25))</f>
        <v/>
      </c>
      <c r="S10" s="5">
        <f>INT(R10/100)*100 + IF(MOD(ROUND(R10,0),100)&lt;25, 0, IF(MOD(ROUND(R10,0),100)&lt;=74, 49, 99))</f>
        <v/>
      </c>
      <c r="T10" s="4">
        <f>IF(S10&lt;300, 0, MIN(99, IF(S10&lt;500, S10*7%, IF(S10&lt;700, S10*12%, S10*15%))))</f>
        <v/>
      </c>
    </row>
    <row r="11">
      <c r="A11" s="6" t="inlineStr">
        <is>
          <t>T4P-TG-WP-N</t>
        </is>
      </c>
      <c r="B11" s="7" t="inlineStr">
        <is>
          <t>RedmiTurbo 4 Pro Tempered Glass Case – White Glass Shell</t>
        </is>
      </c>
      <c r="C11" s="6" t="inlineStr">
        <is>
          <t>Tempered glass</t>
        </is>
      </c>
      <c r="D11" s="6" t="inlineStr">
        <is>
          <t>White Print</t>
        </is>
      </c>
      <c r="E11" s="6" t="inlineStr">
        <is>
          <t>Redmi Turbo 4 Pro</t>
        </is>
      </c>
      <c r="F11" s="6" t="inlineStr">
        <is>
          <t>No</t>
        </is>
      </c>
      <c r="G11" s="6" t="inlineStr">
        <is>
          <t>Link</t>
        </is>
      </c>
      <c r="H11" s="7" t="inlineStr">
        <is>
          <t>https://moveon.global/BD_en/products/0000000HHR0RE2BI-jit-one-piece-dropshippingsuitable-for-xiaomi17-phone-case-aliexpress-f7-mercado-libre-turbo4-foreign-trade/1AD8397614601637</t>
        </is>
      </c>
      <c r="I11" s="7" t="inlineStr"/>
      <c r="J11" s="8" t="n">
        <v>133</v>
      </c>
      <c r="K11" s="8" t="n">
        <v>11.44</v>
      </c>
      <c r="L11" s="8" t="n">
        <v>56</v>
      </c>
      <c r="M11" s="8" t="n">
        <v>2.54</v>
      </c>
      <c r="N11" s="8" t="n">
        <v>11.5</v>
      </c>
      <c r="O11" s="8" t="n">
        <v>20</v>
      </c>
      <c r="P11" s="8" t="n">
        <v>0</v>
      </c>
      <c r="Q11" s="8">
        <f>SUM(J11:P11)</f>
        <v/>
      </c>
      <c r="R11" s="8">
        <f>IF(Q11&lt;300, Q11*1.4, IF(Q11&lt;400, Q11*1.33, Q11*1.25))</f>
        <v/>
      </c>
      <c r="S11" s="9">
        <f>INT(R11/100)*100 + IF(MOD(ROUND(R11,0),100)&lt;25, 0, IF(MOD(ROUND(R11,0),100)&lt;=74, 49, 99))</f>
        <v/>
      </c>
      <c r="T11" s="8">
        <f>IF(S11&lt;300, 0, MIN(99, IF(S11&lt;500, S11*7%, IF(S11&lt;700, S11*12%, S11*15%))))</f>
        <v/>
      </c>
    </row>
    <row r="12">
      <c r="A12" s="2" t="inlineStr">
        <is>
          <t>T4P-TG-WP-N</t>
        </is>
      </c>
      <c r="B12" s="3" t="inlineStr">
        <is>
          <t>RedmiTurbo 4 Pro Tempered Glass Case – White Glass Shell</t>
        </is>
      </c>
      <c r="C12" s="2" t="inlineStr">
        <is>
          <t>Tempered glass</t>
        </is>
      </c>
      <c r="D12" s="2" t="inlineStr">
        <is>
          <t>White Print</t>
        </is>
      </c>
      <c r="E12" s="2" t="inlineStr">
        <is>
          <t>Redmi Turbo 4 Pro</t>
        </is>
      </c>
      <c r="F12" s="2" t="inlineStr">
        <is>
          <t>No</t>
        </is>
      </c>
      <c r="G12" s="2" t="inlineStr">
        <is>
          <t>Link</t>
        </is>
      </c>
      <c r="H12" s="3" t="inlineStr">
        <is>
          <t>https://moveon.global/BD_en/products/0000000HHR0RE2BI-jit-one-piece-dropshippingsuitable-for-xiaomi17-phone-case-aliexpress-f7-mercado-libre-turbo4-foreign-trade/1AD8397614601637</t>
        </is>
      </c>
      <c r="I12" s="3" t="inlineStr"/>
      <c r="J12" s="4" t="n">
        <v>133</v>
      </c>
      <c r="K12" s="4" t="n">
        <v>11.44</v>
      </c>
      <c r="L12" s="4" t="n">
        <v>56</v>
      </c>
      <c r="M12" s="4" t="n">
        <v>2.54</v>
      </c>
      <c r="N12" s="4" t="n">
        <v>11.5</v>
      </c>
      <c r="O12" s="4" t="n">
        <v>20</v>
      </c>
      <c r="P12" s="4" t="n">
        <v>0</v>
      </c>
      <c r="Q12" s="4">
        <f>SUM(J12:P12)</f>
        <v/>
      </c>
      <c r="R12" s="4">
        <f>IF(Q12&lt;300, Q12*1.4, IF(Q12&lt;400, Q12*1.33, Q12*1.25))</f>
        <v/>
      </c>
      <c r="S12" s="5">
        <f>INT(R12/100)*100 + IF(MOD(ROUND(R12,0),100)&lt;25, 0, IF(MOD(ROUND(R12,0),100)&lt;=74, 49, 99))</f>
        <v/>
      </c>
      <c r="T12" s="4">
        <f>IF(S12&lt;300, 0, MIN(99, IF(S12&lt;500, S12*7%, IF(S12&lt;700, S12*12%, S12*15%))))</f>
        <v/>
      </c>
    </row>
    <row r="13">
      <c r="A13" s="6" t="inlineStr">
        <is>
          <t>T4P-TG-WP-N</t>
        </is>
      </c>
      <c r="B13" s="7" t="inlineStr">
        <is>
          <t>Redmi Turbo 4 Pro Tempered Glass Case – White Glass Shell</t>
        </is>
      </c>
      <c r="C13" s="6" t="inlineStr">
        <is>
          <t>Tempered glass</t>
        </is>
      </c>
      <c r="D13" s="6" t="inlineStr">
        <is>
          <t>White Print</t>
        </is>
      </c>
      <c r="E13" s="6" t="inlineStr">
        <is>
          <t>Redmi Turbo 4 Pro</t>
        </is>
      </c>
      <c r="F13" s="6" t="inlineStr">
        <is>
          <t>No</t>
        </is>
      </c>
      <c r="G13" s="6" t="inlineStr">
        <is>
          <t>Link</t>
        </is>
      </c>
      <c r="H13" s="7" t="inlineStr">
        <is>
          <t>https://moveon.global/BD_en/products/0000000HHR0RE2BI-jit-one-piece-dropshippingsuitable-for-xiaomi17-phone-case-aliexpress-f7-mercado-libre-turbo4-foreign-trade/1AD8397614601637</t>
        </is>
      </c>
      <c r="I13" s="7" t="inlineStr"/>
      <c r="J13" s="8" t="n">
        <v>133</v>
      </c>
      <c r="K13" s="8" t="n">
        <v>11.44</v>
      </c>
      <c r="L13" s="8" t="n">
        <v>56</v>
      </c>
      <c r="M13" s="8" t="n">
        <v>2.54</v>
      </c>
      <c r="N13" s="8" t="n">
        <v>11.5</v>
      </c>
      <c r="O13" s="8" t="n">
        <v>20</v>
      </c>
      <c r="P13" s="8" t="n">
        <v>0</v>
      </c>
      <c r="Q13" s="8">
        <f>SUM(J13:P13)</f>
        <v/>
      </c>
      <c r="R13" s="8">
        <f>IF(Q13&lt;300, Q13*1.4, IF(Q13&lt;400, Q13*1.33, Q13*1.25))</f>
        <v/>
      </c>
      <c r="S13" s="9">
        <f>INT(R13/100)*100 + IF(MOD(ROUND(R13,0),100)&lt;25, 0, IF(MOD(ROUND(R13,0),100)&lt;=74, 49, 99))</f>
        <v/>
      </c>
      <c r="T13" s="8">
        <f>IF(S13&lt;300, 0, MIN(99, IF(S13&lt;500, S13*7%, IF(S13&lt;700, S13*12%, S13*15%))))</f>
        <v/>
      </c>
    </row>
    <row r="14">
      <c r="A14" s="2" t="inlineStr">
        <is>
          <t>T4P-TG-WP-N</t>
        </is>
      </c>
      <c r="B14" s="3" t="inlineStr">
        <is>
          <t>Redmi Turbo 4 Pro Tempered Glass Case – White Glass Shell</t>
        </is>
      </c>
      <c r="C14" s="2" t="inlineStr">
        <is>
          <t>Tempered glass</t>
        </is>
      </c>
      <c r="D14" s="2" t="inlineStr">
        <is>
          <t>White Print</t>
        </is>
      </c>
      <c r="E14" s="2" t="inlineStr">
        <is>
          <t>Redmi Turbo 4 Pro</t>
        </is>
      </c>
      <c r="F14" s="2" t="inlineStr">
        <is>
          <t>No</t>
        </is>
      </c>
      <c r="G14" s="2" t="inlineStr">
        <is>
          <t>Link</t>
        </is>
      </c>
      <c r="H14" s="3" t="inlineStr">
        <is>
          <t>https://moveon.global/BD_en/products/0000000HHR0RE2BI-jit-one-piece-dropshippingsuitable-for-xiaomi17-phone-case-aliexpress-f7-mercado-libre-turbo4-foreign-trade/1AD8397614601637</t>
        </is>
      </c>
      <c r="I14" s="3" t="inlineStr"/>
      <c r="J14" s="4" t="n">
        <v>133</v>
      </c>
      <c r="K14" s="4" t="n">
        <v>11.44</v>
      </c>
      <c r="L14" s="4" t="n">
        <v>56</v>
      </c>
      <c r="M14" s="4" t="n">
        <v>2.54</v>
      </c>
      <c r="N14" s="4" t="n">
        <v>11.5</v>
      </c>
      <c r="O14" s="4" t="n">
        <v>20</v>
      </c>
      <c r="P14" s="4" t="n">
        <v>0</v>
      </c>
      <c r="Q14" s="4">
        <f>SUM(J14:P14)</f>
        <v/>
      </c>
      <c r="R14" s="4">
        <f>IF(Q14&lt;300, Q14*1.4, IF(Q14&lt;400, Q14*1.33, Q14*1.25))</f>
        <v/>
      </c>
      <c r="S14" s="5">
        <f>INT(R14/100)*100 + IF(MOD(ROUND(R14,0),100)&lt;25, 0, IF(MOD(ROUND(R14,0),100)&lt;=74, 49, 99))</f>
        <v/>
      </c>
      <c r="T14" s="4">
        <f>IF(S14&lt;300, 0, MIN(99, IF(S14&lt;500, S14*7%, IF(S14&lt;700, S14*12%, S14*15%))))</f>
        <v/>
      </c>
    </row>
    <row r="15">
      <c r="A15" s="6" t="inlineStr">
        <is>
          <t>H600-SKn-G-N</t>
        </is>
      </c>
      <c r="B15" s="7" t="inlineStr">
        <is>
          <t>Honor 600 Skin Protective Case</t>
        </is>
      </c>
      <c r="C15" s="6" t="inlineStr">
        <is>
          <t>Skin</t>
        </is>
      </c>
      <c r="D15" s="6" t="inlineStr">
        <is>
          <t>Grey</t>
        </is>
      </c>
      <c r="E15" s="6" t="inlineStr">
        <is>
          <t>Honor 600</t>
        </is>
      </c>
      <c r="F15" s="6" t="inlineStr">
        <is>
          <t>No</t>
        </is>
      </c>
      <c r="G15" s="6" t="inlineStr">
        <is>
          <t>Link</t>
        </is>
      </c>
      <c r="H15" s="7" t="inlineStr">
        <is>
          <t>https://moveon.global/BD_en/products/000000074X6RUVK3-suitable-for-honor-600-phone-case-honor-600-pro-international-version-carbon-fiber-pattern-leather-protective-cover-back-shell-type/1AD8348014988676</t>
        </is>
      </c>
      <c r="I15" s="7" t="inlineStr"/>
      <c r="J15" s="8" t="n">
        <v>146.3</v>
      </c>
      <c r="K15" s="8" t="n">
        <v>79.8</v>
      </c>
      <c r="L15" s="8" t="n">
        <v>87.5</v>
      </c>
      <c r="M15" s="8" t="n">
        <v>5.09</v>
      </c>
      <c r="N15" s="8" t="n">
        <v>11.5</v>
      </c>
      <c r="O15" s="8" t="n">
        <v>20</v>
      </c>
      <c r="P15" s="8" t="n">
        <v>0</v>
      </c>
      <c r="Q15" s="8">
        <f>SUM(J15:P15)</f>
        <v/>
      </c>
      <c r="R15" s="8">
        <f>IF(Q15&lt;300, Q15*1.4, IF(Q15&lt;400, Q15*1.33, Q15*1.25))</f>
        <v/>
      </c>
      <c r="S15" s="9">
        <f>INT(R15/100)*100 + IF(MOD(ROUND(R15,0),100)&lt;25, 0, IF(MOD(ROUND(R15,0),100)&lt;=74, 49, 99))</f>
        <v/>
      </c>
      <c r="T15" s="8">
        <f>IF(S15&lt;300, 0, MIN(99, IF(S15&lt;500, S15*7%, IF(S15&lt;700, S15*12%, S15*15%))))</f>
        <v/>
      </c>
    </row>
    <row r="16">
      <c r="A16" s="2" t="inlineStr">
        <is>
          <t>H600P-SKn-G-N</t>
        </is>
      </c>
      <c r="B16" s="3" t="inlineStr">
        <is>
          <t>Honor 600 Pro Skin Protective Case</t>
        </is>
      </c>
      <c r="C16" s="2" t="inlineStr">
        <is>
          <t>Skin</t>
        </is>
      </c>
      <c r="D16" s="2" t="inlineStr">
        <is>
          <t>Grey</t>
        </is>
      </c>
      <c r="E16" s="2" t="inlineStr">
        <is>
          <t>Honor 600 Pro</t>
        </is>
      </c>
      <c r="F16" s="2" t="inlineStr">
        <is>
          <t>No</t>
        </is>
      </c>
      <c r="G16" s="2" t="inlineStr">
        <is>
          <t>Link</t>
        </is>
      </c>
      <c r="H16" s="3" t="inlineStr">
        <is>
          <t>https://moveon.global/BD_en/products/000000074X6RUVK3-suitable-for-honor-600-phone-case-honor-600-pro-international-version-carbon-fiber-pattern-leather-protective-cover-back-shell-type/1AD8348014988676</t>
        </is>
      </c>
      <c r="I16" s="3" t="inlineStr"/>
      <c r="J16" s="4" t="n">
        <v>146.3</v>
      </c>
      <c r="K16" s="4" t="n">
        <v>79.8</v>
      </c>
      <c r="L16" s="4" t="n">
        <v>87.5</v>
      </c>
      <c r="M16" s="4" t="n">
        <v>5.09</v>
      </c>
      <c r="N16" s="4" t="n">
        <v>11.5</v>
      </c>
      <c r="O16" s="4" t="n">
        <v>20</v>
      </c>
      <c r="P16" s="4" t="n">
        <v>0</v>
      </c>
      <c r="Q16" s="4">
        <f>SUM(J16:P16)</f>
        <v/>
      </c>
      <c r="R16" s="4">
        <f>IF(Q16&lt;300, Q16*1.4, IF(Q16&lt;400, Q16*1.33, Q16*1.25))</f>
        <v/>
      </c>
      <c r="S16" s="5">
        <f>INT(R16/100)*100 + IF(MOD(ROUND(R16,0),100)&lt;25, 0, IF(MOD(ROUND(R16,0),100)&lt;=74, 49, 99))</f>
        <v/>
      </c>
      <c r="T16" s="4">
        <f>IF(S16&lt;300, 0, MIN(99, IF(S16&lt;500, S16*7%, IF(S16&lt;700, S16*12%, S16*15%))))</f>
        <v/>
      </c>
    </row>
    <row r="17">
      <c r="A17" s="6" t="inlineStr">
        <is>
          <t>S26U-PW-B-N</t>
        </is>
      </c>
      <c r="B17" s="7" t="inlineStr">
        <is>
          <t>Samsung Galaxy S26 Ultra Wood Grain Magnetic Case</t>
        </is>
      </c>
      <c r="C17" s="6" t="inlineStr">
        <is>
          <t>PCs</t>
        </is>
      </c>
      <c r="D17" s="6" t="inlineStr">
        <is>
          <t>Poplar Wood Grain</t>
        </is>
      </c>
      <c r="E17" s="6" t="inlineStr">
        <is>
          <t>Samsung Galaxy S26 Ultra</t>
        </is>
      </c>
      <c r="F17" s="6" t="inlineStr">
        <is>
          <t>No</t>
        </is>
      </c>
      <c r="G17" s="6" t="inlineStr">
        <is>
          <t>Link</t>
        </is>
      </c>
      <c r="H17" s="7" t="inlineStr">
        <is>
          <t>https://moveon.global/BD_en/products/0000000BB811A2TJ-foreign-trade-cross-border-applicable-samsung-s26ultra-mobile-phone-case-frameless-wood-grain-magnetic-suction-s25u-anti-fall-24-protective-case/1AC6839645384080</t>
        </is>
      </c>
      <c r="I17" s="7" t="inlineStr"/>
      <c r="J17" s="8" t="n">
        <v>252.7</v>
      </c>
      <c r="K17" s="8" t="n">
        <v>18.09</v>
      </c>
      <c r="L17" s="8" t="n">
        <v>35</v>
      </c>
      <c r="M17" s="8" t="n">
        <v>2.54</v>
      </c>
      <c r="N17" s="8" t="n">
        <v>11.5</v>
      </c>
      <c r="O17" s="8" t="n">
        <v>20</v>
      </c>
      <c r="P17" s="8" t="n">
        <v>0</v>
      </c>
      <c r="Q17" s="8">
        <f>SUM(J17:P17)</f>
        <v/>
      </c>
      <c r="R17" s="8">
        <f>IF(Q17&lt;300, Q17*1.4, IF(Q17&lt;400, Q17*1.33, Q17*1.25))</f>
        <v/>
      </c>
      <c r="S17" s="9">
        <f>INT(R17/100)*100 + IF(MOD(ROUND(R17,0),100)&lt;25, 0, IF(MOD(ROUND(R17,0),100)&lt;=74, 49, 99))</f>
        <v/>
      </c>
      <c r="T17" s="8">
        <f>IF(S17&lt;300, 0, MIN(99, IF(S17&lt;500, S17*7%, IF(S17&lt;700, S17*12%, S17*15%))))</f>
        <v/>
      </c>
    </row>
    <row r="18">
      <c r="A18" s="2" t="inlineStr">
        <is>
          <t>S26U-PW-B-N</t>
        </is>
      </c>
      <c r="B18" s="3" t="inlineStr">
        <is>
          <t>Samsung Galaxy S26 Ultra Wood Grain Magnetic Case</t>
        </is>
      </c>
      <c r="C18" s="2" t="inlineStr">
        <is>
          <t>PCs</t>
        </is>
      </c>
      <c r="D18" s="2" t="inlineStr">
        <is>
          <t>Dark Gray Wood Grain</t>
        </is>
      </c>
      <c r="E18" s="2" t="inlineStr">
        <is>
          <t>Samsung Galaxy S26 Ultra</t>
        </is>
      </c>
      <c r="F18" s="2" t="inlineStr">
        <is>
          <t>No</t>
        </is>
      </c>
      <c r="G18" s="2" t="inlineStr">
        <is>
          <t>Link</t>
        </is>
      </c>
      <c r="H18" s="3" t="inlineStr">
        <is>
          <t>https://moveon.global/BD_en/products/0000000BB811A2TJ-foreign-trade-cross-border-applicable-samsung-s26ultra-mobile-phone-case-frameless-wood-grain-magnetic-suction-s25u-anti-fall-24-protective-case/1AC6839645384080</t>
        </is>
      </c>
      <c r="I18" s="3" t="inlineStr"/>
      <c r="J18" s="4" t="n">
        <v>252.7</v>
      </c>
      <c r="K18" s="4" t="n">
        <v>18.09</v>
      </c>
      <c r="L18" s="4" t="n">
        <v>35</v>
      </c>
      <c r="M18" s="4" t="n">
        <v>2.54</v>
      </c>
      <c r="N18" s="4" t="n">
        <v>11.5</v>
      </c>
      <c r="O18" s="4" t="n">
        <v>20</v>
      </c>
      <c r="P18" s="4" t="n">
        <v>0</v>
      </c>
      <c r="Q18" s="4">
        <f>SUM(J18:P18)</f>
        <v/>
      </c>
      <c r="R18" s="4">
        <f>IF(Q18&lt;300, Q18*1.4, IF(Q18&lt;400, Q18*1.33, Q18*1.25))</f>
        <v/>
      </c>
      <c r="S18" s="5">
        <f>INT(R18/100)*100 + IF(MOD(ROUND(R18,0),100)&lt;25, 0, IF(MOD(ROUND(R18,0),100)&lt;=74, 49, 99))</f>
        <v/>
      </c>
      <c r="T18" s="4">
        <f>IF(S18&lt;300, 0, MIN(99, IF(S18&lt;500, S18*7%, IF(S18&lt;700, S18*12%, S18*15%))))</f>
        <v/>
      </c>
    </row>
    <row r="19">
      <c r="A19" s="6" t="inlineStr">
        <is>
          <t>S26U-MI-B-N</t>
        </is>
      </c>
      <c r="B19" s="7" t="inlineStr">
        <is>
          <t>Samsung Galaxy S26 Ultra Magnetic Invisible Bracket</t>
        </is>
      </c>
      <c r="C19" s="6" t="inlineStr">
        <is>
          <t>Metal lens frame Acrylic / TPU</t>
        </is>
      </c>
      <c r="D19" s="6" t="inlineStr">
        <is>
          <t>Black – Magnetic Invisible Bracket</t>
        </is>
      </c>
      <c r="E19" s="6" t="inlineStr">
        <is>
          <t>Samsung Galaxy S26 Ultra</t>
        </is>
      </c>
      <c r="F19" s="6" t="inlineStr">
        <is>
          <t>No</t>
        </is>
      </c>
      <c r="G19" s="6" t="inlineStr">
        <is>
          <t>Link</t>
        </is>
      </c>
      <c r="H19" s="7" t="inlineStr">
        <is>
          <t>https://moveon.global/BD_en/products/0000000PWJ01ZSK1-metal-invisible-lens-bracket-suitable-for-samsung-s26ultra-magnetic-phone-case-s25fe-transparent-s24plus-case/1AC5307428543960</t>
        </is>
      </c>
      <c r="I19" s="7" t="inlineStr"/>
      <c r="J19" s="8" t="n">
        <v>265.74</v>
      </c>
      <c r="K19" s="8" t="n">
        <v>50.2</v>
      </c>
      <c r="L19" s="8" t="n">
        <v>80</v>
      </c>
      <c r="M19" s="8" t="n">
        <v>5.09</v>
      </c>
      <c r="N19" s="8" t="n">
        <v>11.5</v>
      </c>
      <c r="O19" s="8" t="n">
        <v>20</v>
      </c>
      <c r="P19" s="8" t="n">
        <v>0</v>
      </c>
      <c r="Q19" s="8">
        <f>SUM(J19:P19)</f>
        <v/>
      </c>
      <c r="R19" s="8">
        <f>IF(Q19&lt;300, Q19*1.4, IF(Q19&lt;400, Q19*1.33, Q19*1.25))</f>
        <v/>
      </c>
      <c r="S19" s="9">
        <f>INT(R19/100)*100 + IF(MOD(ROUND(R19,0),100)&lt;25, 0, IF(MOD(ROUND(R19,0),100)&lt;=74, 49, 99))</f>
        <v/>
      </c>
      <c r="T19" s="8">
        <f>IF(S19&lt;300, 0, MIN(99, IF(S19&lt;500, S19*7%, IF(S19&lt;700, S19*12%, S19*15%))))</f>
        <v/>
      </c>
    </row>
    <row r="20">
      <c r="A20" s="2" t="inlineStr">
        <is>
          <t>18P-AC-M-R-N</t>
        </is>
      </c>
      <c r="B20" s="3" t="inlineStr">
        <is>
          <t>iPhone 18 Pro Magnetic Acrylic Case</t>
        </is>
      </c>
      <c r="C20" s="2" t="inlineStr">
        <is>
          <t>Acrylic</t>
        </is>
      </c>
      <c r="D20" s="2" t="inlineStr">
        <is>
          <t>Wine Red</t>
        </is>
      </c>
      <c r="E20" s="2" t="inlineStr">
        <is>
          <t>iPhone 18 Pro</t>
        </is>
      </c>
      <c r="F20" s="2" t="inlineStr">
        <is>
          <t>No</t>
        </is>
      </c>
      <c r="G20" s="2" t="inlineStr">
        <is>
          <t>Link</t>
        </is>
      </c>
      <c r="H20" s="3" t="inlineStr">
        <is>
          <t>https://moveon.global/BD_en/products/0000000XI6T00NZT-suitable-for-apple-18promax-phone-case-magnetic-transparent-iphone17-acrylic-silicone-solid-color-skin-feel-frame/1AD8357853016175</t>
        </is>
      </c>
      <c r="I20" s="3" t="inlineStr"/>
      <c r="J20" s="4" t="n">
        <v>87.25</v>
      </c>
      <c r="K20" s="4" t="n">
        <v>16.55</v>
      </c>
      <c r="L20" s="4" t="n">
        <v>81.59999999999999</v>
      </c>
      <c r="M20" s="4" t="n">
        <v>5.09</v>
      </c>
      <c r="N20" s="4" t="n">
        <v>11.5</v>
      </c>
      <c r="O20" s="4" t="n">
        <v>20</v>
      </c>
      <c r="P20" s="4" t="n">
        <v>0</v>
      </c>
      <c r="Q20" s="4">
        <f>SUM(J20:P20)</f>
        <v/>
      </c>
      <c r="R20" s="4">
        <f>IF(Q20&lt;300, Q20*1.4, IF(Q20&lt;400, Q20*1.33, Q20*1.25))</f>
        <v/>
      </c>
      <c r="S20" s="5">
        <f>INT(R20/100)*100 + IF(MOD(ROUND(R20,0),100)&lt;25, 0, IF(MOD(ROUND(R20,0),100)&lt;=74, 49, 99))</f>
        <v/>
      </c>
      <c r="T20" s="4">
        <f>IF(S20&lt;300, 0, MIN(99, IF(S20&lt;500, S20*7%, IF(S20&lt;700, S20*12%, S20*15%))))</f>
        <v/>
      </c>
    </row>
    <row r="21">
      <c r="A21" s="6" t="inlineStr">
        <is>
          <t>18PM-AC-M-R-N</t>
        </is>
      </c>
      <c r="B21" s="7" t="inlineStr">
        <is>
          <t>iPhone 18  Pro Max Magnetic Acrylic Case</t>
        </is>
      </c>
      <c r="C21" s="6" t="inlineStr">
        <is>
          <t>Acrylic</t>
        </is>
      </c>
      <c r="D21" s="6" t="inlineStr">
        <is>
          <t>Wine Red</t>
        </is>
      </c>
      <c r="E21" s="6" t="inlineStr">
        <is>
          <t>iPhone 18 Pro Max</t>
        </is>
      </c>
      <c r="F21" s="6" t="inlineStr">
        <is>
          <t>No</t>
        </is>
      </c>
      <c r="G21" s="6" t="inlineStr">
        <is>
          <t>Link</t>
        </is>
      </c>
      <c r="H21" s="7" t="inlineStr">
        <is>
          <t>https://moveon.global/BD_en/products/0000000XI6T00NZT-suitable-for-apple-18promax-phone-case-magnetic-transparent-iphone17-acrylic-silicone-solid-color-skin-feel-frame/1AD8357853016175</t>
        </is>
      </c>
      <c r="I21" s="7" t="inlineStr"/>
      <c r="J21" s="8" t="n">
        <v>87.25</v>
      </c>
      <c r="K21" s="8" t="n">
        <v>16.55</v>
      </c>
      <c r="L21" s="8" t="n">
        <v>81.59999999999999</v>
      </c>
      <c r="M21" s="8" t="n">
        <v>5.09</v>
      </c>
      <c r="N21" s="8" t="n">
        <v>11.5</v>
      </c>
      <c r="O21" s="8" t="n">
        <v>20</v>
      </c>
      <c r="P21" s="8" t="n">
        <v>0</v>
      </c>
      <c r="Q21" s="8">
        <f>SUM(J21:P21)</f>
        <v/>
      </c>
      <c r="R21" s="8">
        <f>IF(Q21&lt;300, Q21*1.4, IF(Q21&lt;400, Q21*1.33, Q21*1.25))</f>
        <v/>
      </c>
      <c r="S21" s="9">
        <f>INT(R21/100)*100 + IF(MOD(ROUND(R21,0),100)&lt;25, 0, IF(MOD(ROUND(R21,0),100)&lt;=74, 49, 99))</f>
        <v/>
      </c>
      <c r="T21" s="8">
        <f>IF(S21&lt;300, 0, MIN(99, IF(S21&lt;500, S21*7%, IF(S21&lt;700, S21*12%, S21*15%))))</f>
        <v/>
      </c>
    </row>
    <row r="22">
      <c r="A22" s="2" t="inlineStr">
        <is>
          <t>18PM-AC-M-B-N</t>
        </is>
      </c>
      <c r="B22" s="3" t="inlineStr">
        <is>
          <t>iPhone 18  Pro  Magnetic Acrylic Case</t>
        </is>
      </c>
      <c r="C22" s="2" t="inlineStr">
        <is>
          <t>Acrylic</t>
        </is>
      </c>
      <c r="D22" s="2" t="inlineStr">
        <is>
          <t>Black</t>
        </is>
      </c>
      <c r="E22" s="2" t="inlineStr">
        <is>
          <t>iPhone 18 Pro</t>
        </is>
      </c>
      <c r="F22" s="2" t="inlineStr">
        <is>
          <t>No</t>
        </is>
      </c>
      <c r="G22" s="2" t="inlineStr">
        <is>
          <t>Link</t>
        </is>
      </c>
      <c r="H22" s="3" t="inlineStr">
        <is>
          <t>https://moveon.global/BD_en/products/0000000XI6T00NZT-suitable-for-apple-18promax-phone-case-magnetic-transparent-iphone17-acrylic-silicone-solid-color-skin-feel-frame/1AD8357853016175</t>
        </is>
      </c>
      <c r="I22" s="3" t="inlineStr"/>
      <c r="J22" s="4" t="n">
        <v>87.25</v>
      </c>
      <c r="K22" s="4" t="n">
        <v>16.55</v>
      </c>
      <c r="L22" s="4" t="n">
        <v>81.59999999999999</v>
      </c>
      <c r="M22" s="4" t="n">
        <v>5.09</v>
      </c>
      <c r="N22" s="4" t="n">
        <v>11.5</v>
      </c>
      <c r="O22" s="4" t="n">
        <v>20</v>
      </c>
      <c r="P22" s="4" t="n">
        <v>0</v>
      </c>
      <c r="Q22" s="4">
        <f>SUM(J22:P22)</f>
        <v/>
      </c>
      <c r="R22" s="4">
        <f>IF(Q22&lt;300, Q22*1.4, IF(Q22&lt;400, Q22*1.33, Q22*1.25))</f>
        <v/>
      </c>
      <c r="S22" s="5">
        <f>INT(R22/100)*100 + IF(MOD(ROUND(R22,0),100)&lt;25, 0, IF(MOD(ROUND(R22,0),100)&lt;=74, 49, 99))</f>
        <v/>
      </c>
      <c r="T22" s="4">
        <f>IF(S22&lt;300, 0, MIN(99, IF(S22&lt;500, S22*7%, IF(S22&lt;700, S22*12%, S22*15%))))</f>
        <v/>
      </c>
    </row>
    <row r="23">
      <c r="A23" s="6" t="inlineStr">
        <is>
          <t>17PM-AC-M-O-N</t>
        </is>
      </c>
      <c r="B23" s="7" t="inlineStr">
        <is>
          <t>iPhone 17 Pro Max Magnetic Acrylic Case</t>
        </is>
      </c>
      <c r="C23" s="6" t="inlineStr">
        <is>
          <t>Acrylic</t>
        </is>
      </c>
      <c r="D23" s="6" t="inlineStr">
        <is>
          <t>Orange</t>
        </is>
      </c>
      <c r="E23" s="6" t="inlineStr">
        <is>
          <t>iPhone 17 Pro Max</t>
        </is>
      </c>
      <c r="F23" s="6" t="inlineStr">
        <is>
          <t>No</t>
        </is>
      </c>
      <c r="G23" s="6" t="inlineStr">
        <is>
          <t>Link</t>
        </is>
      </c>
      <c r="H23" s="7" t="inlineStr">
        <is>
          <t>https://moveon.global/BD_en/products/0000000XI6T00NZT-suitable-for-apple-18promax-phone-case-magnetic-transparent-iphone17-acrylic-silicone-solid-color-skin-feel-frame/1AD8357853016175</t>
        </is>
      </c>
      <c r="I23" s="7" t="inlineStr"/>
      <c r="J23" s="8" t="n">
        <v>87.25</v>
      </c>
      <c r="K23" s="8" t="n">
        <v>16.55</v>
      </c>
      <c r="L23" s="8" t="n">
        <v>81.59999999999999</v>
      </c>
      <c r="M23" s="8" t="n">
        <v>5.09</v>
      </c>
      <c r="N23" s="8" t="n">
        <v>11.5</v>
      </c>
      <c r="O23" s="8" t="n">
        <v>20</v>
      </c>
      <c r="P23" s="8" t="n">
        <v>0</v>
      </c>
      <c r="Q23" s="8">
        <f>SUM(J23:P23)</f>
        <v/>
      </c>
      <c r="R23" s="8">
        <f>IF(Q23&lt;300, Q23*1.4, IF(Q23&lt;400, Q23*1.33, Q23*1.25))</f>
        <v/>
      </c>
      <c r="S23" s="9">
        <f>INT(R23/100)*100 + IF(MOD(ROUND(R23,0),100)&lt;25, 0, IF(MOD(ROUND(R23,0),100)&lt;=74, 49, 99))</f>
        <v/>
      </c>
      <c r="T23" s="8">
        <f>IF(S23&lt;300, 0, MIN(99, IF(S23&lt;500, S23*7%, IF(S23&lt;700, S23*12%, S23*15%))))</f>
        <v/>
      </c>
    </row>
    <row r="24">
      <c r="A24" s="2" t="inlineStr">
        <is>
          <t>17PM-AC-M-PK-N</t>
        </is>
      </c>
      <c r="B24" s="3" t="inlineStr">
        <is>
          <t>iPhone 17 Pro Max Magnetic Acrylic Case</t>
        </is>
      </c>
      <c r="C24" s="2" t="inlineStr">
        <is>
          <t>Acrylic</t>
        </is>
      </c>
      <c r="D24" s="2" t="inlineStr">
        <is>
          <t>Pink</t>
        </is>
      </c>
      <c r="E24" s="2" t="inlineStr">
        <is>
          <t>iPhone 17 Pro Max</t>
        </is>
      </c>
      <c r="F24" s="2" t="inlineStr">
        <is>
          <t>No</t>
        </is>
      </c>
      <c r="G24" s="2" t="inlineStr">
        <is>
          <t>Link</t>
        </is>
      </c>
      <c r="H24" s="3" t="inlineStr">
        <is>
          <t>https://moveon.global/BD_en/products/0000000XI6T00NZT-suitable-for-apple-18promax-phone-case-magnetic-transparent-iphone17-acrylic-silicone-solid-color-skin-feel-frame/1AD8357853016175</t>
        </is>
      </c>
      <c r="I24" s="3" t="inlineStr"/>
      <c r="J24" s="4" t="n">
        <v>87.25</v>
      </c>
      <c r="K24" s="4" t="n">
        <v>16.55</v>
      </c>
      <c r="L24" s="4" t="n">
        <v>81.59999999999999</v>
      </c>
      <c r="M24" s="4" t="n">
        <v>5.09</v>
      </c>
      <c r="N24" s="4" t="n">
        <v>11.5</v>
      </c>
      <c r="O24" s="4" t="n">
        <v>20</v>
      </c>
      <c r="P24" s="4" t="n">
        <v>0</v>
      </c>
      <c r="Q24" s="4">
        <f>SUM(J24:P24)</f>
        <v/>
      </c>
      <c r="R24" s="4">
        <f>IF(Q24&lt;300, Q24*1.4, IF(Q24&lt;400, Q24*1.33, Q24*1.25))</f>
        <v/>
      </c>
      <c r="S24" s="5">
        <f>INT(R24/100)*100 + IF(MOD(ROUND(R24,0),100)&lt;25, 0, IF(MOD(ROUND(R24,0),100)&lt;=74, 49, 99))</f>
        <v/>
      </c>
      <c r="T24" s="4">
        <f>IF(S24&lt;300, 0, MIN(99, IF(S24&lt;500, S24*7%, IF(S24&lt;700, S24*12%, S24*15%))))</f>
        <v/>
      </c>
    </row>
    <row r="25">
      <c r="A25" s="6" t="inlineStr">
        <is>
          <t>18PM-HS-S-N</t>
        </is>
      </c>
      <c r="B25" s="7" t="inlineStr">
        <is>
          <t>iPhone 18 Pro Max Hard Shell Case with Lens Film</t>
        </is>
      </c>
      <c r="C25" s="6" t="inlineStr">
        <is>
          <t>PCs</t>
        </is>
      </c>
      <c r="D25" s="6" t="inlineStr">
        <is>
          <t>Elegant Silver</t>
        </is>
      </c>
      <c r="E25" s="6" t="inlineStr">
        <is>
          <t>iPhone 18 Pro Max</t>
        </is>
      </c>
      <c r="F25" s="6" t="inlineStr">
        <is>
          <t>No</t>
        </is>
      </c>
      <c r="G25" s="6" t="inlineStr">
        <is>
          <t>Link</t>
        </is>
      </c>
      <c r="H25" s="7" t="inlineStr">
        <is>
          <t>https://moveon.global/BD_en/products/0000000BB3D8VSG8-suitable-for-iphone18promax-mobile-phone-case-ultra-thin-matte-heat-dissipation-apple-17-lens-film-all-inclusive-anti-fall-hard-case/1AC6111333736340</t>
        </is>
      </c>
      <c r="I25" s="7" t="inlineStr"/>
      <c r="J25" s="8" t="n">
        <v>119.7</v>
      </c>
      <c r="K25" s="8" t="n">
        <v>8.75</v>
      </c>
      <c r="L25" s="8" t="n">
        <v>38</v>
      </c>
      <c r="M25" s="8" t="n">
        <v>2.54</v>
      </c>
      <c r="N25" s="8" t="n">
        <v>11.5</v>
      </c>
      <c r="O25" s="8" t="n">
        <v>20</v>
      </c>
      <c r="P25" s="8" t="n">
        <v>0</v>
      </c>
      <c r="Q25" s="8">
        <f>SUM(J25:P25)</f>
        <v/>
      </c>
      <c r="R25" s="8">
        <f>IF(Q25&lt;300, Q25*1.4, IF(Q25&lt;400, Q25*1.33, Q25*1.25))</f>
        <v/>
      </c>
      <c r="S25" s="9">
        <f>INT(R25/100)*100 + IF(MOD(ROUND(R25,0),100)&lt;25, 0, IF(MOD(ROUND(R25,0),100)&lt;=74, 49, 99))</f>
        <v/>
      </c>
      <c r="T25" s="8">
        <f>IF(S25&lt;300, 0, MIN(99, IF(S25&lt;500, S25*7%, IF(S25&lt;700, S25*12%, S25*15%))))</f>
        <v/>
      </c>
    </row>
    <row r="26">
      <c r="A26" s="2" t="inlineStr">
        <is>
          <t>18P-HS-S-N</t>
        </is>
      </c>
      <c r="B26" s="3" t="inlineStr">
        <is>
          <t>iPhone 18 Pro Hard Shell Case with Lens Film</t>
        </is>
      </c>
      <c r="C26" s="2" t="inlineStr">
        <is>
          <t>PCs</t>
        </is>
      </c>
      <c r="D26" s="2" t="inlineStr">
        <is>
          <t>Elegant Silver</t>
        </is>
      </c>
      <c r="E26" s="2" t="inlineStr">
        <is>
          <t>iPhone 18 Pro</t>
        </is>
      </c>
      <c r="F26" s="2" t="inlineStr">
        <is>
          <t>No</t>
        </is>
      </c>
      <c r="G26" s="2" t="inlineStr">
        <is>
          <t>Link</t>
        </is>
      </c>
      <c r="H26" s="3" t="inlineStr">
        <is>
          <t>https://moveon.global/BD_en/products/0000000BB3D8VSG8-suitable-for-iphone18promax-mobile-phone-case-ultra-thin-matte-heat-dissipation-apple-17-lens-film-all-inclusive-anti-fall-hard-case/1AC6111333736340</t>
        </is>
      </c>
      <c r="I26" s="3" t="inlineStr"/>
      <c r="J26" s="4" t="n">
        <v>119.7</v>
      </c>
      <c r="K26" s="4" t="n">
        <v>8.75</v>
      </c>
      <c r="L26" s="4" t="n">
        <v>38</v>
      </c>
      <c r="M26" s="4" t="n">
        <v>2.54</v>
      </c>
      <c r="N26" s="4" t="n">
        <v>11.5</v>
      </c>
      <c r="O26" s="4" t="n">
        <v>20</v>
      </c>
      <c r="P26" s="4" t="n">
        <v>0</v>
      </c>
      <c r="Q26" s="4">
        <f>SUM(J26:P26)</f>
        <v/>
      </c>
      <c r="R26" s="4">
        <f>IF(Q26&lt;300, Q26*1.4, IF(Q26&lt;400, Q26*1.33, Q26*1.25))</f>
        <v/>
      </c>
      <c r="S26" s="5">
        <f>INT(R26/100)*100 + IF(MOD(ROUND(R26,0),100)&lt;25, 0, IF(MOD(ROUND(R26,0),100)&lt;=74, 49, 99))</f>
        <v/>
      </c>
      <c r="T26" s="4">
        <f>IF(S26&lt;300, 0, MIN(99, IF(S26&lt;500, S26*7%, IF(S26&lt;700, S26*12%, S26*15%))))</f>
        <v/>
      </c>
    </row>
    <row r="27">
      <c r="A27" s="6" t="inlineStr">
        <is>
          <t>17PM-HS-S-N</t>
        </is>
      </c>
      <c r="B27" s="7" t="inlineStr">
        <is>
          <t>iPhone 17 Pro Max Hard Shell Case with Lens Film</t>
        </is>
      </c>
      <c r="C27" s="6" t="inlineStr">
        <is>
          <t>PCs</t>
        </is>
      </c>
      <c r="D27" s="6" t="inlineStr">
        <is>
          <t>Elegant Silver</t>
        </is>
      </c>
      <c r="E27" s="6" t="inlineStr">
        <is>
          <t>iPhone 17 Pro Max</t>
        </is>
      </c>
      <c r="F27" s="6" t="inlineStr">
        <is>
          <t>No</t>
        </is>
      </c>
      <c r="G27" s="6" t="inlineStr">
        <is>
          <t>Link</t>
        </is>
      </c>
      <c r="H27" s="7" t="inlineStr">
        <is>
          <t>https://moveon.global/BD_en/products/0000000BB3D8VSG8-suitable-for-iphone18promax-mobile-phone-case-ultra-thin-matte-heat-dissipation-apple-17-lens-film-all-inclusive-anti-fall-hard-case/1AC6111333736340</t>
        </is>
      </c>
      <c r="I27" s="7" t="inlineStr"/>
      <c r="J27" s="8" t="n">
        <v>119.7</v>
      </c>
      <c r="K27" s="8" t="n">
        <v>8.75</v>
      </c>
      <c r="L27" s="8" t="n">
        <v>38</v>
      </c>
      <c r="M27" s="8" t="n">
        <v>2.54</v>
      </c>
      <c r="N27" s="8" t="n">
        <v>11.5</v>
      </c>
      <c r="O27" s="8" t="n">
        <v>20</v>
      </c>
      <c r="P27" s="8" t="n">
        <v>0</v>
      </c>
      <c r="Q27" s="8">
        <f>SUM(J27:P27)</f>
        <v/>
      </c>
      <c r="R27" s="8">
        <f>IF(Q27&lt;300, Q27*1.4, IF(Q27&lt;400, Q27*1.33, Q27*1.25))</f>
        <v/>
      </c>
      <c r="S27" s="9">
        <f>INT(R27/100)*100 + IF(MOD(ROUND(R27,0),100)&lt;25, 0, IF(MOD(ROUND(R27,0),100)&lt;=74, 49, 99))</f>
        <v/>
      </c>
      <c r="T27" s="8">
        <f>IF(S27&lt;300, 0, MIN(99, IF(S27&lt;500, S27*7%, IF(S27&lt;700, S27*12%, S27*15%))))</f>
        <v/>
      </c>
    </row>
    <row r="28">
      <c r="A28" s="2" t="inlineStr">
        <is>
          <t>17P-HS-S-N</t>
        </is>
      </c>
      <c r="B28" s="3" t="inlineStr">
        <is>
          <t>iPhone 17 Pro Hard Shell Case with Lens Film</t>
        </is>
      </c>
      <c r="C28" s="2" t="inlineStr">
        <is>
          <t>PCs</t>
        </is>
      </c>
      <c r="D28" s="2" t="inlineStr">
        <is>
          <t>Elegant Silver</t>
        </is>
      </c>
      <c r="E28" s="2" t="inlineStr">
        <is>
          <t>iPhone 17 Pro</t>
        </is>
      </c>
      <c r="F28" s="2" t="inlineStr">
        <is>
          <t>No</t>
        </is>
      </c>
      <c r="G28" s="2" t="inlineStr">
        <is>
          <t>Link</t>
        </is>
      </c>
      <c r="H28" s="3" t="inlineStr">
        <is>
          <t>https://moveon.global/BD_en/products/0000000BB3D8VSG8-suitable-for-iphone18promax-mobile-phone-case-ultra-thin-matte-heat-dissipation-apple-17-lens-film-all-inclusive-anti-fall-hard-case/1AC6111333736340</t>
        </is>
      </c>
      <c r="I28" s="3" t="inlineStr"/>
      <c r="J28" s="4" t="n">
        <v>119.7</v>
      </c>
      <c r="K28" s="4" t="n">
        <v>8.75</v>
      </c>
      <c r="L28" s="4" t="n">
        <v>38</v>
      </c>
      <c r="M28" s="4" t="n">
        <v>2.54</v>
      </c>
      <c r="N28" s="4" t="n">
        <v>11.5</v>
      </c>
      <c r="O28" s="4" t="n">
        <v>20</v>
      </c>
      <c r="P28" s="4" t="n">
        <v>0</v>
      </c>
      <c r="Q28" s="4">
        <f>SUM(J28:P28)</f>
        <v/>
      </c>
      <c r="R28" s="4">
        <f>IF(Q28&lt;300, Q28*1.4, IF(Q28&lt;400, Q28*1.33, Q28*1.25))</f>
        <v/>
      </c>
      <c r="S28" s="5">
        <f>INT(R28/100)*100 + IF(MOD(ROUND(R28,0),100)&lt;25, 0, IF(MOD(ROUND(R28,0),100)&lt;=74, 49, 99))</f>
        <v/>
      </c>
      <c r="T28" s="4">
        <f>IF(S28&lt;300, 0, MIN(99, IF(S28&lt;500, S28*7%, IF(S28&lt;700, S28*12%, S28*15%))))</f>
        <v/>
      </c>
    </row>
    <row r="29">
      <c r="A29" s="6" t="inlineStr">
        <is>
          <t>RN8-SIL-WT-S</t>
        </is>
      </c>
      <c r="B29" s="7" t="inlineStr">
        <is>
          <t>Suitable for Realme Neo8 phone case, simple solid color cube liquid silicone full-cover anti-drop soft case, new model</t>
        </is>
      </c>
      <c r="C29" s="6" t="inlineStr">
        <is>
          <t>Liquid Silicone</t>
        </is>
      </c>
      <c r="D29" s="6" t="inlineStr">
        <is>
          <t>Antique White</t>
        </is>
      </c>
      <c r="E29" s="6" t="inlineStr">
        <is>
          <t>Realme Neo8</t>
        </is>
      </c>
      <c r="F29" s="6" t="inlineStr">
        <is>
          <t>No</t>
        </is>
      </c>
      <c r="G29" s="6" t="inlineStr">
        <is>
          <t>Link</t>
        </is>
      </c>
      <c r="H29" s="7" t="inlineStr">
        <is>
          <t>https://moveon.global/BD_en/products/0000000MJPDSKGCI-suitable-for-realme-neo8-phone-case-simple-solid-color-cube-liquid-silicone-full-cover-anti-drop-soft-case-new-model/1AD8354574484115</t>
        </is>
      </c>
      <c r="I29" s="7" t="inlineStr">
        <is>
          <t>Realme Neo8/Liquid Silicone/sku/RN8-SIL-WT-S.jpg</t>
        </is>
      </c>
      <c r="J29" s="8" t="n">
        <v>39.9</v>
      </c>
      <c r="K29" s="8" t="n">
        <v>10</v>
      </c>
      <c r="L29" s="8" t="n">
        <v>50</v>
      </c>
      <c r="M29" s="8" t="n">
        <v>5</v>
      </c>
      <c r="N29" s="8" t="n">
        <v>11.5</v>
      </c>
      <c r="O29" s="8" t="n">
        <v>20</v>
      </c>
      <c r="P29" s="8" t="n">
        <v>0</v>
      </c>
      <c r="Q29" s="8">
        <f>SUM(J29:P29)</f>
        <v/>
      </c>
      <c r="R29" s="8">
        <f>IF(Q29&lt;300, Q29*1.4, IF(Q29&lt;400, Q29*1.33, Q29*1.25))</f>
        <v/>
      </c>
      <c r="S29" s="9">
        <f>INT(R29/100)*100 + IF(MOD(ROUND(R29,0),100)&lt;25, 0, IF(MOD(ROUND(R29,0),100)&lt;=74, 49, 99))</f>
        <v/>
      </c>
      <c r="T29" s="8">
        <f>IF(S29&lt;300, 0, MIN(99, IF(S29&lt;500, S29*7%, IF(S29&lt;700, S29*12%, S29*15%))))</f>
        <v/>
      </c>
    </row>
    <row r="30">
      <c r="A30" s="2" t="inlineStr">
        <is>
          <t>RN8-SIL-PR-S</t>
        </is>
      </c>
      <c r="B30" s="3" t="inlineStr">
        <is>
          <t>Suitable for Realme Neo8 phone case, simple solid color cube liquid silicone full-cover anti-drop soft case, new model</t>
        </is>
      </c>
      <c r="C30" s="2" t="inlineStr">
        <is>
          <t>Liquid Silicone</t>
        </is>
      </c>
      <c r="D30" s="2" t="inlineStr">
        <is>
          <t>Grass Purple</t>
        </is>
      </c>
      <c r="E30" s="2" t="inlineStr">
        <is>
          <t>Realme Neo8</t>
        </is>
      </c>
      <c r="F30" s="2" t="inlineStr">
        <is>
          <t>No</t>
        </is>
      </c>
      <c r="G30" s="2" t="inlineStr">
        <is>
          <t>Link</t>
        </is>
      </c>
      <c r="H30" s="3" t="inlineStr">
        <is>
          <t>https://moveon.global/BD_en/products/0000000MJPDSKGCI-suitable-for-realme-neo8-phone-case-simple-solid-color-cube-liquid-silicone-full-cover-anti-drop-soft-case-new-model/1AD8354574484115</t>
        </is>
      </c>
      <c r="I30" s="3" t="inlineStr">
        <is>
          <t>Realme Neo8/Liquid Silicone/sku/RN8-SIL-PR-S.jpg</t>
        </is>
      </c>
      <c r="J30" s="4" t="n">
        <v>39.9</v>
      </c>
      <c r="K30" s="4" t="n">
        <v>10</v>
      </c>
      <c r="L30" s="4" t="n">
        <v>50</v>
      </c>
      <c r="M30" s="4" t="n">
        <v>5</v>
      </c>
      <c r="N30" s="4" t="n">
        <v>11.5</v>
      </c>
      <c r="O30" s="4" t="n">
        <v>20</v>
      </c>
      <c r="P30" s="4" t="n">
        <v>0</v>
      </c>
      <c r="Q30" s="4">
        <f>SUM(J30:P30)</f>
        <v/>
      </c>
      <c r="R30" s="4">
        <f>IF(Q30&lt;300, Q30*1.4, IF(Q30&lt;400, Q30*1.33, Q30*1.25))</f>
        <v/>
      </c>
      <c r="S30" s="5">
        <f>INT(R30/100)*100 + IF(MOD(ROUND(R30,0),100)&lt;25, 0, IF(MOD(ROUND(R30,0),100)&lt;=74, 49, 99))</f>
        <v/>
      </c>
      <c r="T30" s="4">
        <f>IF(S30&lt;300, 0, MIN(99, IF(S30&lt;500, S30*7%, IF(S30&lt;700, S30*12%, S30*15%))))</f>
        <v/>
      </c>
    </row>
    <row r="31">
      <c r="A31" s="6" t="inlineStr">
        <is>
          <t>RN8-SIL-GN-S</t>
        </is>
      </c>
      <c r="B31" s="7" t="inlineStr">
        <is>
          <t>Suitable for Realme Neo8 phone case, simple solid color cube liquid silicone full-cover anti-drop soft case, new model</t>
        </is>
      </c>
      <c r="C31" s="6" t="inlineStr">
        <is>
          <t>Liquid Silicone</t>
        </is>
      </c>
      <c r="D31" s="6" t="inlineStr">
        <is>
          <t>Dark Night Green</t>
        </is>
      </c>
      <c r="E31" s="6" t="inlineStr">
        <is>
          <t>Realme Neo8</t>
        </is>
      </c>
      <c r="F31" s="6" t="inlineStr">
        <is>
          <t>No</t>
        </is>
      </c>
      <c r="G31" s="6" t="inlineStr">
        <is>
          <t>Link</t>
        </is>
      </c>
      <c r="H31" s="7" t="inlineStr">
        <is>
          <t>https://moveon.global/BD_en/products/0000000MJPDSKGCI-suitable-for-realme-neo8-phone-case-simple-solid-color-cube-liquid-silicone-full-cover-anti-drop-soft-case-new-model/1AD8354574484115</t>
        </is>
      </c>
      <c r="I31" s="7" t="inlineStr">
        <is>
          <t>Realme Neo8/Liquid Silicone/sku/RN8-SIL-GN-S.jpg</t>
        </is>
      </c>
      <c r="J31" s="8" t="n">
        <v>39.9</v>
      </c>
      <c r="K31" s="8" t="n">
        <v>10</v>
      </c>
      <c r="L31" s="8" t="n">
        <v>50</v>
      </c>
      <c r="M31" s="8" t="n">
        <v>5</v>
      </c>
      <c r="N31" s="8" t="n">
        <v>11.5</v>
      </c>
      <c r="O31" s="8" t="n">
        <v>20</v>
      </c>
      <c r="P31" s="8" t="n">
        <v>0</v>
      </c>
      <c r="Q31" s="8">
        <f>SUM(J31:P31)</f>
        <v/>
      </c>
      <c r="R31" s="8">
        <f>IF(Q31&lt;300, Q31*1.4, IF(Q31&lt;400, Q31*1.33, Q31*1.25))</f>
        <v/>
      </c>
      <c r="S31" s="9">
        <f>INT(R31/100)*100 + IF(MOD(ROUND(R31,0),100)&lt;25, 0, IF(MOD(ROUND(R31,0),100)&lt;=74, 49, 99))</f>
        <v/>
      </c>
      <c r="T31" s="8">
        <f>IF(S31&lt;300, 0, MIN(99, IF(S31&lt;500, S31*7%, IF(S31&lt;700, S31*12%, S31*15%))))</f>
        <v/>
      </c>
    </row>
    <row r="32">
      <c r="A32" s="2" t="inlineStr">
        <is>
          <t>RN8-SIL-BL-S</t>
        </is>
      </c>
      <c r="B32" s="3" t="inlineStr">
        <is>
          <t>Suitable for Realme Neo8 phone case, simple solid color cube liquid silicone full-cover anti-drop soft case, new model</t>
        </is>
      </c>
      <c r="C32" s="2" t="inlineStr">
        <is>
          <t>Liquid Silicone</t>
        </is>
      </c>
      <c r="D32" s="2" t="inlineStr">
        <is>
          <t>Royal Blue</t>
        </is>
      </c>
      <c r="E32" s="2" t="inlineStr">
        <is>
          <t>Realme Neo8</t>
        </is>
      </c>
      <c r="F32" s="2" t="inlineStr">
        <is>
          <t>No</t>
        </is>
      </c>
      <c r="G32" s="2" t="inlineStr">
        <is>
          <t>Link</t>
        </is>
      </c>
      <c r="H32" s="3" t="inlineStr">
        <is>
          <t>https://moveon.global/BD_en/products/0000000MJPDSKGCI-suitable-for-realme-neo8-phone-case-simple-solid-color-cube-liquid-silicone-full-cover-anti-drop-soft-case-new-model/1AD8354574484115</t>
        </is>
      </c>
      <c r="I32" s="3" t="inlineStr">
        <is>
          <t>Realme Neo8/Liquid Silicone/sku/RN8-SIL-BL-S.jpg</t>
        </is>
      </c>
      <c r="J32" s="4" t="n">
        <v>39.9</v>
      </c>
      <c r="K32" s="4" t="n">
        <v>10</v>
      </c>
      <c r="L32" s="4" t="n">
        <v>50</v>
      </c>
      <c r="M32" s="4" t="n">
        <v>5</v>
      </c>
      <c r="N32" s="4" t="n">
        <v>11.5</v>
      </c>
      <c r="O32" s="4" t="n">
        <v>20</v>
      </c>
      <c r="P32" s="4" t="n">
        <v>0</v>
      </c>
      <c r="Q32" s="4">
        <f>SUM(J32:P32)</f>
        <v/>
      </c>
      <c r="R32" s="4">
        <f>IF(Q32&lt;300, Q32*1.4, IF(Q32&lt;400, Q32*1.33, Q32*1.25))</f>
        <v/>
      </c>
      <c r="S32" s="5">
        <f>INT(R32/100)*100 + IF(MOD(ROUND(R32,0),100)&lt;25, 0, IF(MOD(ROUND(R32,0),100)&lt;=74, 49, 99))</f>
        <v/>
      </c>
      <c r="T32" s="4">
        <f>IF(S32&lt;300, 0, MIN(99, IF(S32&lt;500, S32*7%, IF(S32&lt;700, S32*12%, S32*15%))))</f>
        <v/>
      </c>
    </row>
    <row r="33">
      <c r="A33" s="6" t="inlineStr">
        <is>
          <t>RN8-SIL-BK-S</t>
        </is>
      </c>
      <c r="B33" s="7" t="inlineStr">
        <is>
          <t>Suitable for Realme Neo8 phone case, simple solid color cube liquid silicone full-cover anti-drop soft case, new model</t>
        </is>
      </c>
      <c r="C33" s="6" t="inlineStr">
        <is>
          <t>Liquid Silicone</t>
        </is>
      </c>
      <c r="D33" s="6" t="inlineStr">
        <is>
          <t>Classic Black</t>
        </is>
      </c>
      <c r="E33" s="6" t="inlineStr">
        <is>
          <t>Realme Neo8</t>
        </is>
      </c>
      <c r="F33" s="6" t="inlineStr">
        <is>
          <t>No</t>
        </is>
      </c>
      <c r="G33" s="6" t="inlineStr">
        <is>
          <t>Link</t>
        </is>
      </c>
      <c r="H33" s="7" t="inlineStr">
        <is>
          <t>https://moveon.global/BD_en/products/0000000MJPDSKGCI-suitable-for-realme-neo8-phone-case-simple-solid-color-cube-liquid-silicone-full-cover-anti-drop-soft-case-new-model/1AD8354574484115</t>
        </is>
      </c>
      <c r="I33" s="7" t="inlineStr">
        <is>
          <t>Realme Neo8/Liquid Silicone/sku/RN8-SIL-BK-S.jpg</t>
        </is>
      </c>
      <c r="J33" s="8" t="n">
        <v>39.9</v>
      </c>
      <c r="K33" s="8" t="n">
        <v>10</v>
      </c>
      <c r="L33" s="8" t="n">
        <v>50</v>
      </c>
      <c r="M33" s="8" t="n">
        <v>5</v>
      </c>
      <c r="N33" s="8" t="n">
        <v>11.5</v>
      </c>
      <c r="O33" s="8" t="n">
        <v>20</v>
      </c>
      <c r="P33" s="8" t="n">
        <v>0</v>
      </c>
      <c r="Q33" s="8">
        <f>SUM(J33:P33)</f>
        <v/>
      </c>
      <c r="R33" s="8">
        <f>IF(Q33&lt;300, Q33*1.4, IF(Q33&lt;400, Q33*1.33, Q33*1.25))</f>
        <v/>
      </c>
      <c r="S33" s="9">
        <f>INT(R33/100)*100 + IF(MOD(ROUND(R33,0),100)&lt;25, 0, IF(MOD(ROUND(R33,0),100)&lt;=74, 49, 99))</f>
        <v/>
      </c>
      <c r="T33" s="8">
        <f>IF(S33&lt;300, 0, MIN(99, IF(S33&lt;500, S33*7%, IF(S33&lt;700, S33*12%, S33*15%))))</f>
        <v/>
      </c>
    </row>
    <row r="34">
      <c r="A34" s="2" t="inlineStr">
        <is>
          <t>RN8-SIL-PR-S</t>
        </is>
      </c>
      <c r="B34" s="3" t="inlineStr">
        <is>
          <t>Suitable for Realme Neo8 phone case, simple solid color cube liquid silicone full-cover anti-drop soft case, new model</t>
        </is>
      </c>
      <c r="C34" s="2" t="inlineStr">
        <is>
          <t>Liquid Silicone</t>
        </is>
      </c>
      <c r="D34" s="2" t="inlineStr">
        <is>
          <t>Lavender Gray</t>
        </is>
      </c>
      <c r="E34" s="2" t="inlineStr">
        <is>
          <t>Realme Neo8</t>
        </is>
      </c>
      <c r="F34" s="2" t="inlineStr">
        <is>
          <t>No</t>
        </is>
      </c>
      <c r="G34" s="2" t="inlineStr">
        <is>
          <t>Link</t>
        </is>
      </c>
      <c r="H34" s="3" t="inlineStr">
        <is>
          <t>https://moveon.global/BD_en/products/0000000MJPDSKGCI-suitable-for-realme-neo8-phone-case-simple-solid-color-cube-liquid-silicone-full-cover-anti-drop-soft-case-new-model/1AD8354574484115</t>
        </is>
      </c>
      <c r="I34" s="3" t="inlineStr">
        <is>
          <t>Realme Neo8/Liquid Silicone/sku/RN8-SIL-PR-S.jpg</t>
        </is>
      </c>
      <c r="J34" s="4" t="n">
        <v>39.9</v>
      </c>
      <c r="K34" s="4" t="n">
        <v>10</v>
      </c>
      <c r="L34" s="4" t="n">
        <v>50</v>
      </c>
      <c r="M34" s="4" t="n">
        <v>5</v>
      </c>
      <c r="N34" s="4" t="n">
        <v>11.5</v>
      </c>
      <c r="O34" s="4" t="n">
        <v>20</v>
      </c>
      <c r="P34" s="4" t="n">
        <v>0</v>
      </c>
      <c r="Q34" s="4">
        <f>SUM(J34:P34)</f>
        <v/>
      </c>
      <c r="R34" s="4">
        <f>IF(Q34&lt;300, Q34*1.4, IF(Q34&lt;400, Q34*1.33, Q34*1.25))</f>
        <v/>
      </c>
      <c r="S34" s="5">
        <f>INT(R34/100)*100 + IF(MOD(ROUND(R34,0),100)&lt;25, 0, IF(MOD(ROUND(R34,0),100)&lt;=74, 49, 99))</f>
        <v/>
      </c>
      <c r="T34" s="4">
        <f>IF(S34&lt;300, 0, MIN(99, IF(S34&lt;500, S34*7%, IF(S34&lt;700, S34*12%, S34*15%))))</f>
        <v/>
      </c>
    </row>
    <row r="35">
      <c r="A35" s="6" t="inlineStr">
        <is>
          <t>RN8-SIL-RD-S</t>
        </is>
      </c>
      <c r="B35" s="7" t="inlineStr">
        <is>
          <t>Suitable for Realme Neo8 phone case, simple solid color cube liquid silicone full-cover anti-drop soft case, new model</t>
        </is>
      </c>
      <c r="C35" s="6" t="inlineStr">
        <is>
          <t>Liquid Silicone</t>
        </is>
      </c>
      <c r="D35" s="6" t="inlineStr">
        <is>
          <t>Camellia Red</t>
        </is>
      </c>
      <c r="E35" s="6" t="inlineStr">
        <is>
          <t>Realme Neo8</t>
        </is>
      </c>
      <c r="F35" s="6" t="inlineStr">
        <is>
          <t>No</t>
        </is>
      </c>
      <c r="G35" s="6" t="inlineStr">
        <is>
          <t>Link</t>
        </is>
      </c>
      <c r="H35" s="7" t="inlineStr">
        <is>
          <t>https://moveon.global/BD_en/products/0000000MJPDSKGCI-suitable-for-realme-neo8-phone-case-simple-solid-color-cube-liquid-silicone-full-cover-anti-drop-soft-case-new-model/1AD8354574484115</t>
        </is>
      </c>
      <c r="I35" s="7" t="inlineStr">
        <is>
          <t>Realme Neo8/Liquid Silicone/sku/RN8-SIL-RD-S.jpg</t>
        </is>
      </c>
      <c r="J35" s="8" t="n">
        <v>39.9</v>
      </c>
      <c r="K35" s="8" t="n">
        <v>10</v>
      </c>
      <c r="L35" s="8" t="n">
        <v>50</v>
      </c>
      <c r="M35" s="8" t="n">
        <v>5</v>
      </c>
      <c r="N35" s="8" t="n">
        <v>11.5</v>
      </c>
      <c r="O35" s="8" t="n">
        <v>20</v>
      </c>
      <c r="P35" s="8" t="n">
        <v>0</v>
      </c>
      <c r="Q35" s="8">
        <f>SUM(J35:P35)</f>
        <v/>
      </c>
      <c r="R35" s="8">
        <f>IF(Q35&lt;300, Q35*1.4, IF(Q35&lt;400, Q35*1.33, Q35*1.25))</f>
        <v/>
      </c>
      <c r="S35" s="9">
        <f>INT(R35/100)*100 + IF(MOD(ROUND(R35,0),100)&lt;25, 0, IF(MOD(ROUND(R35,0),100)&lt;=74, 49, 99))</f>
        <v/>
      </c>
      <c r="T35" s="8">
        <f>IF(S35&lt;300, 0, MIN(99, IF(S35&lt;500, S35*7%, IF(S35&lt;700, S35*12%, S35*15%))))</f>
        <v/>
      </c>
    </row>
    <row r="36">
      <c r="A36" s="2" t="inlineStr">
        <is>
          <t>RN8-SIL-TL-S</t>
        </is>
      </c>
      <c r="B36" s="3" t="inlineStr">
        <is>
          <t>Suitable for Realme Neo8 phone case, simple solid color cube liquid silicone full-cover anti-drop soft case, new model</t>
        </is>
      </c>
      <c r="C36" s="2" t="inlineStr">
        <is>
          <t>Liquid Silicone</t>
        </is>
      </c>
      <c r="D36" s="2" t="inlineStr">
        <is>
          <t>Light Teal</t>
        </is>
      </c>
      <c r="E36" s="2" t="inlineStr">
        <is>
          <t>Realme Neo8</t>
        </is>
      </c>
      <c r="F36" s="2" t="inlineStr">
        <is>
          <t>No</t>
        </is>
      </c>
      <c r="G36" s="2" t="inlineStr">
        <is>
          <t>Link</t>
        </is>
      </c>
      <c r="H36" s="3" t="inlineStr">
        <is>
          <t>https://moveon.global/BD_en/products/0000000MJPDSKGCI-suitable-for-realme-neo8-phone-case-simple-solid-color-cube-liquid-silicone-full-cover-anti-drop-soft-case-new-model/1AD8354574484115</t>
        </is>
      </c>
      <c r="I36" s="3" t="inlineStr">
        <is>
          <t>Realme Neo8/Liquid Silicone/sku/RN8-SIL-TL-S.jpg</t>
        </is>
      </c>
      <c r="J36" s="4" t="n">
        <v>39.9</v>
      </c>
      <c r="K36" s="4" t="n">
        <v>10</v>
      </c>
      <c r="L36" s="4" t="n">
        <v>50</v>
      </c>
      <c r="M36" s="4" t="n">
        <v>5</v>
      </c>
      <c r="N36" s="4" t="n">
        <v>11.5</v>
      </c>
      <c r="O36" s="4" t="n">
        <v>20</v>
      </c>
      <c r="P36" s="4" t="n">
        <v>0</v>
      </c>
      <c r="Q36" s="4">
        <f>SUM(J36:P36)</f>
        <v/>
      </c>
      <c r="R36" s="4">
        <f>IF(Q36&lt;300, Q36*1.4, IF(Q36&lt;400, Q36*1.33, Q36*1.25))</f>
        <v/>
      </c>
      <c r="S36" s="5">
        <f>INT(R36/100)*100 + IF(MOD(ROUND(R36,0),100)&lt;25, 0, IF(MOD(ROUND(R36,0),100)&lt;=74, 49, 99))</f>
        <v/>
      </c>
      <c r="T36" s="4">
        <f>IF(S36&lt;300, 0, MIN(99, IF(S36&lt;500, S36*7%, IF(S36&lt;700, S36*12%, S36*15%))))</f>
        <v/>
      </c>
    </row>
    <row r="37">
      <c r="A37" s="6" t="inlineStr">
        <is>
          <t>RN8-SIL-CL-C</t>
        </is>
      </c>
      <c r="B37" s="7" t="inlineStr">
        <is>
          <t>Suitable for Realme Neo8 phone case, simple solid color cube liquid silicone full-cover anti-drop soft case, new model</t>
        </is>
      </c>
      <c r="C37" s="6" t="inlineStr">
        <is>
          <t>Liquid Silicone</t>
        </is>
      </c>
      <c r="D37" s="6" t="inlineStr">
        <is>
          <t>Transparent</t>
        </is>
      </c>
      <c r="E37" s="6" t="inlineStr">
        <is>
          <t>Realme Neo8</t>
        </is>
      </c>
      <c r="F37" s="6" t="inlineStr">
        <is>
          <t>No</t>
        </is>
      </c>
      <c r="G37" s="6" t="inlineStr">
        <is>
          <t>Link</t>
        </is>
      </c>
      <c r="H37" s="7" t="inlineStr">
        <is>
          <t>https://moveon.global/BD_en/products/0000000MJPDSKGCI-suitable-for-realme-neo8-phone-case-simple-solid-color-cube-liquid-silicone-full-cover-anti-drop-soft-case-new-model/1AD8354574484115</t>
        </is>
      </c>
      <c r="I37" s="7" t="inlineStr">
        <is>
          <t>Realme Neo8/Liquid Silicone/sku/RN8-SIL-CL-C.jpg</t>
        </is>
      </c>
      <c r="J37" s="8" t="n">
        <v>39.9</v>
      </c>
      <c r="K37" s="8" t="n">
        <v>10</v>
      </c>
      <c r="L37" s="8" t="n">
        <v>50</v>
      </c>
      <c r="M37" s="8" t="n">
        <v>5</v>
      </c>
      <c r="N37" s="8" t="n">
        <v>11.5</v>
      </c>
      <c r="O37" s="8" t="n">
        <v>20</v>
      </c>
      <c r="P37" s="8" t="n">
        <v>0</v>
      </c>
      <c r="Q37" s="8">
        <f>SUM(J37:P37)</f>
        <v/>
      </c>
      <c r="R37" s="8">
        <f>IF(Q37&lt;300, Q37*1.4, IF(Q37&lt;400, Q37*1.33, Q37*1.25))</f>
        <v/>
      </c>
      <c r="S37" s="9">
        <f>INT(R37/100)*100 + IF(MOD(ROUND(R37,0),100)&lt;25, 0, IF(MOD(ROUND(R37,0),100)&lt;=74, 49, 99))</f>
        <v/>
      </c>
      <c r="T37" s="8">
        <f>IF(S37&lt;300, 0, MIN(99, IF(S37&lt;500, S37*7%, IF(S37&lt;700, S37*12%, S37*15%))))</f>
        <v/>
      </c>
    </row>
    <row r="38">
      <c r="A38" s="2" t="inlineStr">
        <is>
          <t>RN8-TPU-WT-M</t>
        </is>
      </c>
      <c r="B38" s="3" t="inlineStr">
        <is>
          <t>Suitable for Realme Neo8 Mobile Phone Case, Magnetic Ultra-Thin Soft Case, Realme Thin Neo8 Protective Case, Tpu Full Cover</t>
        </is>
      </c>
      <c r="C38" s="2" t="inlineStr">
        <is>
          <t>TPU</t>
        </is>
      </c>
      <c r="D38" s="2" t="inlineStr">
        <is>
          <t>Transparent White</t>
        </is>
      </c>
      <c r="E38" s="2" t="inlineStr">
        <is>
          <t>Realme Neo8</t>
        </is>
      </c>
      <c r="F38" s="2" t="inlineStr">
        <is>
          <t>No</t>
        </is>
      </c>
      <c r="G38" s="2" t="inlineStr">
        <is>
          <t>Link</t>
        </is>
      </c>
      <c r="H38" s="3" t="inlineStr">
        <is>
          <t>https://moveon.global/BD_en/products/0000000J0H1734SE-suitable-for-realme-neo8-mobile-phone-case-magnetic-ultra-thin-soft-case-realme-thin-neo8-protective-case-tpu-full-cover/1AD8318293575646</t>
        </is>
      </c>
      <c r="I38" s="3" t="inlineStr">
        <is>
          <t>Realme Neo8/TPU/sku/RN8-TPU-WT-M.jpg</t>
        </is>
      </c>
      <c r="J38" s="4" t="n">
        <v>133</v>
      </c>
      <c r="K38" s="4" t="n">
        <v>10</v>
      </c>
      <c r="L38" s="4" t="n">
        <v>50</v>
      </c>
      <c r="M38" s="4" t="n">
        <v>5</v>
      </c>
      <c r="N38" s="4" t="n">
        <v>11.5</v>
      </c>
      <c r="O38" s="4" t="n">
        <v>20</v>
      </c>
      <c r="P38" s="4" t="n">
        <v>0</v>
      </c>
      <c r="Q38" s="4">
        <f>SUM(J38:P38)</f>
        <v/>
      </c>
      <c r="R38" s="4">
        <f>IF(Q38&lt;300, Q38*1.4, IF(Q38&lt;400, Q38*1.33, Q38*1.25))</f>
        <v/>
      </c>
      <c r="S38" s="5">
        <f>INT(R38/100)*100 + IF(MOD(ROUND(R38,0),100)&lt;25, 0, IF(MOD(ROUND(R38,0),100)&lt;=74, 49, 99))</f>
        <v/>
      </c>
      <c r="T38" s="4">
        <f>IF(S38&lt;300, 0, MIN(99, IF(S38&lt;500, S38*7%, IF(S38&lt;700, S38*12%, S38*15%))))</f>
        <v/>
      </c>
    </row>
    <row r="39">
      <c r="A39" s="6" t="inlineStr">
        <is>
          <t>RN8-TPU-BK-M</t>
        </is>
      </c>
      <c r="B39" s="7" t="inlineStr">
        <is>
          <t>Suitable for Realme Neo8 Mobile Phone Case, Magnetic Ultra-Thin Soft Case, Realme Thin Neo8 Protective Case, Tpu Full Cover</t>
        </is>
      </c>
      <c r="C39" s="6" t="inlineStr">
        <is>
          <t>TPU</t>
        </is>
      </c>
      <c r="D39" s="6" t="inlineStr">
        <is>
          <t>Transparent Black</t>
        </is>
      </c>
      <c r="E39" s="6" t="inlineStr">
        <is>
          <t>Realme Neo8</t>
        </is>
      </c>
      <c r="F39" s="6" t="inlineStr">
        <is>
          <t>No</t>
        </is>
      </c>
      <c r="G39" s="6" t="inlineStr">
        <is>
          <t>Link</t>
        </is>
      </c>
      <c r="H39" s="7" t="inlineStr">
        <is>
          <t>https://moveon.global/BD_en/products/0000000J0H1734SE-suitable-for-realme-neo8-mobile-phone-case-magnetic-ultra-thin-soft-case-realme-thin-neo8-protective-case-tpu-full-cover/1AD8318293575646</t>
        </is>
      </c>
      <c r="I39" s="7" t="inlineStr">
        <is>
          <t>Realme Neo8/TPU/sku/RN8-TPU-BK-M.jpg</t>
        </is>
      </c>
      <c r="J39" s="8" t="n">
        <v>133</v>
      </c>
      <c r="K39" s="8" t="n">
        <v>10</v>
      </c>
      <c r="L39" s="8" t="n">
        <v>50</v>
      </c>
      <c r="M39" s="8" t="n">
        <v>5</v>
      </c>
      <c r="N39" s="8" t="n">
        <v>11.5</v>
      </c>
      <c r="O39" s="8" t="n">
        <v>20</v>
      </c>
      <c r="P39" s="8" t="n">
        <v>0</v>
      </c>
      <c r="Q39" s="8">
        <f>SUM(J39:P39)</f>
        <v/>
      </c>
      <c r="R39" s="8">
        <f>IF(Q39&lt;300, Q39*1.4, IF(Q39&lt;400, Q39*1.33, Q39*1.25))</f>
        <v/>
      </c>
      <c r="S39" s="9">
        <f>INT(R39/100)*100 + IF(MOD(ROUND(R39,0),100)&lt;25, 0, IF(MOD(ROUND(R39,0),100)&lt;=74, 49, 99))</f>
        <v/>
      </c>
      <c r="T39" s="8">
        <f>IF(S39&lt;300, 0, MIN(99, IF(S39&lt;500, S39*7%, IF(S39&lt;700, S39*12%, S39*15%))))</f>
        <v/>
      </c>
    </row>
    <row r="40">
      <c r="A40" s="2" t="inlineStr">
        <is>
          <t>H600L-SIL-BK-M</t>
        </is>
      </c>
      <c r="B40" s="3" t="inlineStr">
        <is>
          <t>Suitable for Honor 600Lite Foreign Version Mobile Phone Case Protective Cover with Built-In Magnetic Suction, Lightweight, Fine Holes, and Hard Shell</t>
        </is>
      </c>
      <c r="C40" s="2" t="inlineStr">
        <is>
          <t>Silicone</t>
        </is>
      </c>
      <c r="D40" s="2" t="inlineStr">
        <is>
          <t>Moiré Black</t>
        </is>
      </c>
      <c r="E40" s="2" t="inlineStr">
        <is>
          <t>Honor 600 lite</t>
        </is>
      </c>
      <c r="F40" s="2" t="inlineStr">
        <is>
          <t>No</t>
        </is>
      </c>
      <c r="G40" s="2" t="inlineStr">
        <is>
          <t>Link</t>
        </is>
      </c>
      <c r="H40" s="3" t="inlineStr">
        <is>
          <t>https://moveon.global/BD_en/products/0000000DCI2M1DIF-suitable-for-honor-600lite-foreign-version-mobile-phone-case-protective-cover-with-built-in-magnetic-suction-lightweight-fine-holes-and-hard-shell/1AD8320205925874</t>
        </is>
      </c>
      <c r="I40" s="3" t="inlineStr">
        <is>
          <t>Honor 600 lite/Silicone/sku/H600L-SIL-BK-M.jpg</t>
        </is>
      </c>
      <c r="J40" s="4" t="n">
        <v>186.2</v>
      </c>
      <c r="K40" s="4" t="n">
        <v>10</v>
      </c>
      <c r="L40" s="4" t="n">
        <v>156</v>
      </c>
      <c r="M40" s="4" t="n">
        <v>5</v>
      </c>
      <c r="N40" s="4" t="n">
        <v>11.5</v>
      </c>
      <c r="O40" s="4" t="n">
        <v>20</v>
      </c>
      <c r="P40" s="4" t="n">
        <v>0</v>
      </c>
      <c r="Q40" s="4">
        <f>SUM(J40:P40)</f>
        <v/>
      </c>
      <c r="R40" s="4">
        <f>IF(Q40&lt;300, Q40*1.4, IF(Q40&lt;400, Q40*1.33, Q40*1.25))</f>
        <v/>
      </c>
      <c r="S40" s="5">
        <f>INT(R40/100)*100 + IF(MOD(ROUND(R40,0),100)&lt;25, 0, IF(MOD(ROUND(R40,0),100)&lt;=74, 49, 99))</f>
        <v/>
      </c>
      <c r="T40" s="4">
        <f>IF(S40&lt;300, 0, MIN(99, IF(S40&lt;500, S40*7%, IF(S40&lt;700, S40*12%, S40*15%))))</f>
        <v/>
      </c>
    </row>
    <row r="41">
      <c r="A41" s="6" t="inlineStr">
        <is>
          <t>H600L-SIL-BL-M</t>
        </is>
      </c>
      <c r="B41" s="7" t="inlineStr">
        <is>
          <t>Suitable for Honor 600Lite Foreign Version Mobile Phone Case Protective Cover with Built-In Magnetic Suction, Lightweight, Fine Holes, and Hard Shell</t>
        </is>
      </c>
      <c r="C41" s="6" t="inlineStr">
        <is>
          <t>Silicone</t>
        </is>
      </c>
      <c r="D41" s="6" t="inlineStr">
        <is>
          <t>Gentleman Blue</t>
        </is>
      </c>
      <c r="E41" s="6" t="inlineStr">
        <is>
          <t>Honor 600 lite</t>
        </is>
      </c>
      <c r="F41" s="6" t="inlineStr">
        <is>
          <t>No</t>
        </is>
      </c>
      <c r="G41" s="6" t="inlineStr">
        <is>
          <t>Link</t>
        </is>
      </c>
      <c r="H41" s="7" t="inlineStr">
        <is>
          <t>https://moveon.global/BD_en/products/0000000DCI2M1DIF-suitable-for-honor-600lite-foreign-version-mobile-phone-case-protective-cover-with-built-in-magnetic-suction-lightweight-fine-holes-and-hard-shell/1AD8320205925874</t>
        </is>
      </c>
      <c r="I41" s="7" t="inlineStr">
        <is>
          <t>Honor 600 lite/Silicone/sku/H600L-SIL-BL-M.jpg</t>
        </is>
      </c>
      <c r="J41" s="8" t="n">
        <v>186.2</v>
      </c>
      <c r="K41" s="8" t="n">
        <v>10</v>
      </c>
      <c r="L41" s="8" t="n">
        <v>156</v>
      </c>
      <c r="M41" s="8" t="n">
        <v>5</v>
      </c>
      <c r="N41" s="8" t="n">
        <v>11.5</v>
      </c>
      <c r="O41" s="8" t="n">
        <v>20</v>
      </c>
      <c r="P41" s="8" t="n">
        <v>0</v>
      </c>
      <c r="Q41" s="8">
        <f>SUM(J41:P41)</f>
        <v/>
      </c>
      <c r="R41" s="8">
        <f>IF(Q41&lt;300, Q41*1.4, IF(Q41&lt;400, Q41*1.33, Q41*1.25))</f>
        <v/>
      </c>
      <c r="S41" s="9">
        <f>INT(R41/100)*100 + IF(MOD(ROUND(R41,0),100)&lt;25, 0, IF(MOD(ROUND(R41,0),100)&lt;=74, 49, 99))</f>
        <v/>
      </c>
      <c r="T41" s="8">
        <f>IF(S41&lt;300, 0, MIN(99, IF(S41&lt;500, S41*7%, IF(S41&lt;700, S41*12%, S41*15%))))</f>
        <v/>
      </c>
    </row>
    <row r="42">
      <c r="A42" s="2" t="inlineStr">
        <is>
          <t>H600L-SIL-GN-M</t>
        </is>
      </c>
      <c r="B42" s="3" t="inlineStr">
        <is>
          <t>Suitable for Honor 600Lite Foreign Version Mobile Phone Case Protective Cover with Built-In Magnetic Suction, Lightweight, Fine Holes, and Hard Shell</t>
        </is>
      </c>
      <c r="C42" s="2" t="inlineStr">
        <is>
          <t>Silicone</t>
        </is>
      </c>
      <c r="D42" s="2" t="inlineStr">
        <is>
          <t>Dark Night Green</t>
        </is>
      </c>
      <c r="E42" s="2" t="inlineStr">
        <is>
          <t>Honor 600 lite</t>
        </is>
      </c>
      <c r="F42" s="2" t="inlineStr">
        <is>
          <t>No</t>
        </is>
      </c>
      <c r="G42" s="2" t="inlineStr">
        <is>
          <t>Link</t>
        </is>
      </c>
      <c r="H42" s="3" t="inlineStr">
        <is>
          <t>https://moveon.global/BD_en/products/0000000DCI2M1DIF-suitable-for-honor-600lite-foreign-version-mobile-phone-case-protective-cover-with-built-in-magnetic-suction-lightweight-fine-holes-and-hard-shell/1AD8320205925874</t>
        </is>
      </c>
      <c r="I42" s="3" t="inlineStr">
        <is>
          <t>Honor 600 lite/Silicone/sku/H600L-SIL-GN-M.jpg</t>
        </is>
      </c>
      <c r="J42" s="4" t="n">
        <v>186.2</v>
      </c>
      <c r="K42" s="4" t="n">
        <v>10</v>
      </c>
      <c r="L42" s="4" t="n">
        <v>156</v>
      </c>
      <c r="M42" s="4" t="n">
        <v>5</v>
      </c>
      <c r="N42" s="4" t="n">
        <v>11.5</v>
      </c>
      <c r="O42" s="4" t="n">
        <v>20</v>
      </c>
      <c r="P42" s="4" t="n">
        <v>0</v>
      </c>
      <c r="Q42" s="4">
        <f>SUM(J42:P42)</f>
        <v/>
      </c>
      <c r="R42" s="4">
        <f>IF(Q42&lt;300, Q42*1.4, IF(Q42&lt;400, Q42*1.33, Q42*1.25))</f>
        <v/>
      </c>
      <c r="S42" s="5">
        <f>INT(R42/100)*100 + IF(MOD(ROUND(R42,0),100)&lt;25, 0, IF(MOD(ROUND(R42,0),100)&lt;=74, 49, 99))</f>
        <v/>
      </c>
      <c r="T42" s="4">
        <f>IF(S42&lt;300, 0, MIN(99, IF(S42&lt;500, S42*7%, IF(S42&lt;700, S42*12%, S42*15%))))</f>
        <v/>
      </c>
    </row>
    <row r="43">
      <c r="A43" s="6" t="inlineStr">
        <is>
          <t>H600L-SIL-RD-M</t>
        </is>
      </c>
      <c r="B43" s="7" t="inlineStr">
        <is>
          <t>Suitable for Honor 600Lite Foreign Version Mobile Phone Case Protective Cover with Built-In Magnetic Suction, Lightweight, Fine Holes, and Hard Shell</t>
        </is>
      </c>
      <c r="C43" s="6" t="inlineStr">
        <is>
          <t>Silicone</t>
        </is>
      </c>
      <c r="D43" s="6" t="inlineStr">
        <is>
          <t>Charming Red</t>
        </is>
      </c>
      <c r="E43" s="6" t="inlineStr">
        <is>
          <t>Honor 600 lite</t>
        </is>
      </c>
      <c r="F43" s="6" t="inlineStr">
        <is>
          <t>No</t>
        </is>
      </c>
      <c r="G43" s="6" t="inlineStr">
        <is>
          <t>Link</t>
        </is>
      </c>
      <c r="H43" s="7" t="inlineStr">
        <is>
          <t>https://moveon.global/BD_en/products/0000000DCI2M1DIF-suitable-for-honor-600lite-foreign-version-mobile-phone-case-protective-cover-with-built-in-magnetic-suction-lightweight-fine-holes-and-hard-shell/1AD8320205925874</t>
        </is>
      </c>
      <c r="I43" s="7" t="inlineStr">
        <is>
          <t>Honor 600 lite/Silicone/sku/H600L-SIL-RD-M.jpg</t>
        </is>
      </c>
      <c r="J43" s="8" t="n">
        <v>186.2</v>
      </c>
      <c r="K43" s="8" t="n">
        <v>10</v>
      </c>
      <c r="L43" s="8" t="n">
        <v>156</v>
      </c>
      <c r="M43" s="8" t="n">
        <v>5</v>
      </c>
      <c r="N43" s="8" t="n">
        <v>11.5</v>
      </c>
      <c r="O43" s="8" t="n">
        <v>20</v>
      </c>
      <c r="P43" s="8" t="n">
        <v>0</v>
      </c>
      <c r="Q43" s="8">
        <f>SUM(J43:P43)</f>
        <v/>
      </c>
      <c r="R43" s="8">
        <f>IF(Q43&lt;300, Q43*1.4, IF(Q43&lt;400, Q43*1.33, Q43*1.25))</f>
        <v/>
      </c>
      <c r="S43" s="9">
        <f>INT(R43/100)*100 + IF(MOD(ROUND(R43,0),100)&lt;25, 0, IF(MOD(ROUND(R43,0),100)&lt;=74, 49, 99))</f>
        <v/>
      </c>
      <c r="T43" s="8">
        <f>IF(S43&lt;300, 0, MIN(99, IF(S43&lt;500, S43*7%, IF(S43&lt;700, S43*12%, S43*15%))))</f>
        <v/>
      </c>
    </row>
    <row r="44">
      <c r="A44" s="2" t="inlineStr">
        <is>
          <t>HX80I-TPU-SV-E</t>
        </is>
      </c>
      <c r="B44" s="3" t="inlineStr">
        <is>
          <t>Sangjieshi Suitable for Honor X80Promax Mobile Phone Case X70 with Stand X60Pro Transparent X50 Full-Cover Airbag</t>
        </is>
      </c>
      <c r="C44" s="2" t="inlineStr">
        <is>
          <t>TPU</t>
        </is>
      </c>
      <c r="D44" s="2" t="inlineStr">
        <is>
          <t>Silver</t>
        </is>
      </c>
      <c r="E44" s="2" t="inlineStr">
        <is>
          <t>Honor X80i</t>
        </is>
      </c>
      <c r="F44" s="2" t="inlineStr">
        <is>
          <t>No</t>
        </is>
      </c>
      <c r="G44" s="2" t="inlineStr">
        <is>
          <t>Link</t>
        </is>
      </c>
      <c r="H44" s="3" t="inlineStr">
        <is>
          <t>https://moveon.global/BD_en/products/0000000125WCGFR9-sangjieshi-suitable-for-honor-x80promax-mobile-phone-case-x70-with-stand-x60pro-transparent-x50-full-cover-airbag/1AD8341131122671</t>
        </is>
      </c>
      <c r="I44" s="3" t="inlineStr">
        <is>
          <t>Honor X80i/TPU/sku/HX80I-TPU-SV-E.jpg</t>
        </is>
      </c>
      <c r="J44" s="4" t="n">
        <v>234.08</v>
      </c>
      <c r="K44" s="4" t="n">
        <v>10</v>
      </c>
      <c r="L44" s="4" t="n">
        <v>50</v>
      </c>
      <c r="M44" s="4" t="n">
        <v>5</v>
      </c>
      <c r="N44" s="4" t="n">
        <v>11.5</v>
      </c>
      <c r="O44" s="4" t="n">
        <v>20</v>
      </c>
      <c r="P44" s="4" t="n">
        <v>0</v>
      </c>
      <c r="Q44" s="4">
        <f>SUM(J44:P44)</f>
        <v/>
      </c>
      <c r="R44" s="4">
        <f>IF(Q44&lt;300, Q44*1.4, IF(Q44&lt;400, Q44*1.33, Q44*1.25))</f>
        <v/>
      </c>
      <c r="S44" s="5">
        <f>INT(R44/100)*100 + IF(MOD(ROUND(R44,0),100)&lt;25, 0, IF(MOD(ROUND(R44,0),100)&lt;=74, 49, 99))</f>
        <v/>
      </c>
      <c r="T44" s="4">
        <f>IF(S44&lt;300, 0, MIN(99, IF(S44&lt;500, S44*7%, IF(S44&lt;700, S44*12%, S44*15%))))</f>
        <v/>
      </c>
    </row>
    <row r="45">
      <c r="A45" s="6" t="inlineStr">
        <is>
          <t>HX80I-TPU-BK-E</t>
        </is>
      </c>
      <c r="B45" s="7" t="inlineStr">
        <is>
          <t>Sangjieshi Suitable for Honor X80Promax Mobile Phone Case X70 with Stand X60Pro Transparent X50 Full-Cover Airbag</t>
        </is>
      </c>
      <c r="C45" s="6" t="inlineStr">
        <is>
          <t>TPU</t>
        </is>
      </c>
      <c r="D45" s="6" t="inlineStr">
        <is>
          <t>Black</t>
        </is>
      </c>
      <c r="E45" s="6" t="inlineStr">
        <is>
          <t>Honor X80i</t>
        </is>
      </c>
      <c r="F45" s="6" t="inlineStr">
        <is>
          <t>No</t>
        </is>
      </c>
      <c r="G45" s="6" t="inlineStr">
        <is>
          <t>Link</t>
        </is>
      </c>
      <c r="H45" s="7" t="inlineStr">
        <is>
          <t>https://moveon.global/BD_en/products/0000000125WCGFR9-sangjieshi-suitable-for-honor-x80promax-mobile-phone-case-x70-with-stand-x60pro-transparent-x50-full-cover-airbag/1AD8341131122671</t>
        </is>
      </c>
      <c r="I45" s="7" t="inlineStr">
        <is>
          <t>Honor X80i/TPU/sku/HX80I-TPU-BK-E.jpg</t>
        </is>
      </c>
      <c r="J45" s="8" t="n">
        <v>234.08</v>
      </c>
      <c r="K45" s="8" t="n">
        <v>10</v>
      </c>
      <c r="L45" s="8" t="n">
        <v>50</v>
      </c>
      <c r="M45" s="8" t="n">
        <v>5</v>
      </c>
      <c r="N45" s="8" t="n">
        <v>11.5</v>
      </c>
      <c r="O45" s="8" t="n">
        <v>20</v>
      </c>
      <c r="P45" s="8" t="n">
        <v>0</v>
      </c>
      <c r="Q45" s="8">
        <f>SUM(J45:P45)</f>
        <v/>
      </c>
      <c r="R45" s="8">
        <f>IF(Q45&lt;300, Q45*1.4, IF(Q45&lt;400, Q45*1.33, Q45*1.25))</f>
        <v/>
      </c>
      <c r="S45" s="9">
        <f>INT(R45/100)*100 + IF(MOD(ROUND(R45,0),100)&lt;25, 0, IF(MOD(ROUND(R45,0),100)&lt;=74, 49, 99))</f>
        <v/>
      </c>
      <c r="T45" s="8">
        <f>IF(S45&lt;300, 0, MIN(99, IF(S45&lt;500, S45*7%, IF(S45&lt;700, S45*12%, S45*15%))))</f>
        <v/>
      </c>
    </row>
    <row r="46">
      <c r="A46" s="2" t="inlineStr">
        <is>
          <t>HX80I-TPU-PR-E</t>
        </is>
      </c>
      <c r="B46" s="3" t="inlineStr">
        <is>
          <t>Sangjieshi Suitable for Honor X80Promax Mobile Phone Case X70 with Stand X60Pro Transparent X50 Full-Cover Airbag</t>
        </is>
      </c>
      <c r="C46" s="2" t="inlineStr">
        <is>
          <t>TPU</t>
        </is>
      </c>
      <c r="D46" s="2" t="inlineStr">
        <is>
          <t>Purple</t>
        </is>
      </c>
      <c r="E46" s="2" t="inlineStr">
        <is>
          <t>Honor X80i</t>
        </is>
      </c>
      <c r="F46" s="2" t="inlineStr">
        <is>
          <t>No</t>
        </is>
      </c>
      <c r="G46" s="2" t="inlineStr">
        <is>
          <t>Link</t>
        </is>
      </c>
      <c r="H46" s="3" t="inlineStr">
        <is>
          <t>https://moveon.global/BD_en/products/0000000125WCGFR9-sangjieshi-suitable-for-honor-x80promax-mobile-phone-case-x70-with-stand-x60pro-transparent-x50-full-cover-airbag/1AD8341131122671</t>
        </is>
      </c>
      <c r="I46" s="3" t="inlineStr">
        <is>
          <t>Honor X80i/TPU/sku/HX80I-TPU-PR-E.jpg</t>
        </is>
      </c>
      <c r="J46" s="4" t="n">
        <v>234.08</v>
      </c>
      <c r="K46" s="4" t="n">
        <v>10</v>
      </c>
      <c r="L46" s="4" t="n">
        <v>50</v>
      </c>
      <c r="M46" s="4" t="n">
        <v>5</v>
      </c>
      <c r="N46" s="4" t="n">
        <v>11.5</v>
      </c>
      <c r="O46" s="4" t="n">
        <v>20</v>
      </c>
      <c r="P46" s="4" t="n">
        <v>0</v>
      </c>
      <c r="Q46" s="4">
        <f>SUM(J46:P46)</f>
        <v/>
      </c>
      <c r="R46" s="4">
        <f>IF(Q46&lt;300, Q46*1.4, IF(Q46&lt;400, Q46*1.33, Q46*1.25))</f>
        <v/>
      </c>
      <c r="S46" s="5">
        <f>INT(R46/100)*100 + IF(MOD(ROUND(R46,0),100)&lt;25, 0, IF(MOD(ROUND(R46,0),100)&lt;=74, 49, 99))</f>
        <v/>
      </c>
      <c r="T46" s="4">
        <f>IF(S46&lt;300, 0, MIN(99, IF(S46&lt;500, S46*7%, IF(S46&lt;700, S46*12%, S46*15%))))</f>
        <v/>
      </c>
    </row>
    <row r="47">
      <c r="A47" s="6" t="inlineStr">
        <is>
          <t>HX80I-TPU-BL-E</t>
        </is>
      </c>
      <c r="B47" s="7" t="inlineStr">
        <is>
          <t>Sangjieshi Suitable for Honor X80Promax Mobile Phone Case X70 with Stand X60Pro Transparent X50 Full-Cover Airbag</t>
        </is>
      </c>
      <c r="C47" s="6" t="inlineStr">
        <is>
          <t>TPU</t>
        </is>
      </c>
      <c r="D47" s="6" t="inlineStr">
        <is>
          <t>Blue</t>
        </is>
      </c>
      <c r="E47" s="6" t="inlineStr">
        <is>
          <t>Honor X80i</t>
        </is>
      </c>
      <c r="F47" s="6" t="inlineStr">
        <is>
          <t>No</t>
        </is>
      </c>
      <c r="G47" s="6" t="inlineStr">
        <is>
          <t>Link</t>
        </is>
      </c>
      <c r="H47" s="7" t="inlineStr">
        <is>
          <t>https://moveon.global/BD_en/products/0000000125WCGFR9-sangjieshi-suitable-for-honor-x80promax-mobile-phone-case-x70-with-stand-x60pro-transparent-x50-full-cover-airbag/1AD8341131122671</t>
        </is>
      </c>
      <c r="I47" s="7" t="inlineStr">
        <is>
          <t>Honor X80i/TPU/sku/HX80I-TPU-BL-E.jpg</t>
        </is>
      </c>
      <c r="J47" s="8" t="n">
        <v>234.08</v>
      </c>
      <c r="K47" s="8" t="n">
        <v>10</v>
      </c>
      <c r="L47" s="8" t="n">
        <v>50</v>
      </c>
      <c r="M47" s="8" t="n">
        <v>5</v>
      </c>
      <c r="N47" s="8" t="n">
        <v>11.5</v>
      </c>
      <c r="O47" s="8" t="n">
        <v>20</v>
      </c>
      <c r="P47" s="8" t="n">
        <v>0</v>
      </c>
      <c r="Q47" s="8">
        <f>SUM(J47:P47)</f>
        <v/>
      </c>
      <c r="R47" s="8">
        <f>IF(Q47&lt;300, Q47*1.4, IF(Q47&lt;400, Q47*1.33, Q47*1.25))</f>
        <v/>
      </c>
      <c r="S47" s="9">
        <f>INT(R47/100)*100 + IF(MOD(ROUND(R47,0),100)&lt;25, 0, IF(MOD(ROUND(R47,0),100)&lt;=74, 49, 99))</f>
        <v/>
      </c>
      <c r="T47" s="8">
        <f>IF(S47&lt;300, 0, MIN(99, IF(S47&lt;500, S47*7%, IF(S47&lt;700, S47*12%, S47*15%))))</f>
        <v/>
      </c>
    </row>
    <row r="48">
      <c r="A48" s="2" t="inlineStr">
        <is>
          <t>HX80I-TPU-PK-E</t>
        </is>
      </c>
      <c r="B48" s="3" t="inlineStr">
        <is>
          <t>Sangjieshi Suitable for Honor X80Promax Mobile Phone Case X70 with Stand X60Pro Transparent X50 Full-Cover Airbag</t>
        </is>
      </c>
      <c r="C48" s="2" t="inlineStr">
        <is>
          <t>TPU</t>
        </is>
      </c>
      <c r="D48" s="2" t="inlineStr">
        <is>
          <t>Pink</t>
        </is>
      </c>
      <c r="E48" s="2" t="inlineStr">
        <is>
          <t>Honor X80i</t>
        </is>
      </c>
      <c r="F48" s="2" t="inlineStr">
        <is>
          <t>No</t>
        </is>
      </c>
      <c r="G48" s="2" t="inlineStr">
        <is>
          <t>Link</t>
        </is>
      </c>
      <c r="H48" s="3" t="inlineStr">
        <is>
          <t>https://moveon.global/BD_en/products/0000000125WCGFR9-sangjieshi-suitable-for-honor-x80promax-mobile-phone-case-x70-with-stand-x60pro-transparent-x50-full-cover-airbag/1AD8341131122671</t>
        </is>
      </c>
      <c r="I48" s="3" t="inlineStr">
        <is>
          <t>Honor X80i/TPU/sku/HX80I-TPU-PK-E.jpg</t>
        </is>
      </c>
      <c r="J48" s="4" t="n">
        <v>234.08</v>
      </c>
      <c r="K48" s="4" t="n">
        <v>10</v>
      </c>
      <c r="L48" s="4" t="n">
        <v>50</v>
      </c>
      <c r="M48" s="4" t="n">
        <v>5</v>
      </c>
      <c r="N48" s="4" t="n">
        <v>11.5</v>
      </c>
      <c r="O48" s="4" t="n">
        <v>20</v>
      </c>
      <c r="P48" s="4" t="n">
        <v>0</v>
      </c>
      <c r="Q48" s="4">
        <f>SUM(J48:P48)</f>
        <v/>
      </c>
      <c r="R48" s="4">
        <f>IF(Q48&lt;300, Q48*1.4, IF(Q48&lt;400, Q48*1.33, Q48*1.25))</f>
        <v/>
      </c>
      <c r="S48" s="5">
        <f>INT(R48/100)*100 + IF(MOD(ROUND(R48,0),100)&lt;25, 0, IF(MOD(ROUND(R48,0),100)&lt;=74, 49, 99))</f>
        <v/>
      </c>
      <c r="T48" s="4">
        <f>IF(S48&lt;300, 0, MIN(99, IF(S48&lt;500, S48*7%, IF(S48&lt;700, S48*12%, S48*15%))))</f>
        <v/>
      </c>
    </row>
    <row r="49">
      <c r="A49" s="6" t="inlineStr">
        <is>
          <t>HX80I-TPU-GN-E</t>
        </is>
      </c>
      <c r="B49" s="7" t="inlineStr">
        <is>
          <t>Sangjieshi Suitable for Honor X80Promax Mobile Phone Case X70 with Stand X60Pro Transparent X50 Full-Cover Airbag</t>
        </is>
      </c>
      <c r="C49" s="6" t="inlineStr">
        <is>
          <t>TPU</t>
        </is>
      </c>
      <c r="D49" s="6" t="inlineStr">
        <is>
          <t>Green</t>
        </is>
      </c>
      <c r="E49" s="6" t="inlineStr">
        <is>
          <t>Honor X80i</t>
        </is>
      </c>
      <c r="F49" s="6" t="inlineStr">
        <is>
          <t>No</t>
        </is>
      </c>
      <c r="G49" s="6" t="inlineStr">
        <is>
          <t>Link</t>
        </is>
      </c>
      <c r="H49" s="7" t="inlineStr">
        <is>
          <t>https://moveon.global/BD_en/products/0000000125WCGFR9-sangjieshi-suitable-for-honor-x80promax-mobile-phone-case-x70-with-stand-x60pro-transparent-x50-full-cover-airbag/1AD8341131122671</t>
        </is>
      </c>
      <c r="I49" s="7" t="inlineStr">
        <is>
          <t>Honor X80i/TPU/sku/HX80I-TPU-GN-E.jpg</t>
        </is>
      </c>
      <c r="J49" s="8" t="n">
        <v>234.08</v>
      </c>
      <c r="K49" s="8" t="n">
        <v>10</v>
      </c>
      <c r="L49" s="8" t="n">
        <v>50</v>
      </c>
      <c r="M49" s="8" t="n">
        <v>5</v>
      </c>
      <c r="N49" s="8" t="n">
        <v>11.5</v>
      </c>
      <c r="O49" s="8" t="n">
        <v>20</v>
      </c>
      <c r="P49" s="8" t="n">
        <v>0</v>
      </c>
      <c r="Q49" s="8">
        <f>SUM(J49:P49)</f>
        <v/>
      </c>
      <c r="R49" s="8">
        <f>IF(Q49&lt;300, Q49*1.4, IF(Q49&lt;400, Q49*1.33, Q49*1.25))</f>
        <v/>
      </c>
      <c r="S49" s="9">
        <f>INT(R49/100)*100 + IF(MOD(ROUND(R49,0),100)&lt;25, 0, IF(MOD(ROUND(R49,0),100)&lt;=74, 49, 99))</f>
        <v/>
      </c>
      <c r="T49" s="8">
        <f>IF(S49&lt;300, 0, MIN(99, IF(S49&lt;500, S49*7%, IF(S49&lt;700, S49*12%, S49*15%))))</f>
        <v/>
      </c>
    </row>
    <row r="50">
      <c r="A50" s="2" t="inlineStr">
        <is>
          <t>HX80I-PC-GY-M</t>
        </is>
      </c>
      <c r="B50" s="3" t="inlineStr">
        <is>
          <t>Suitable for Huawei Honor X80I Mobile Phone Case, Honor 600Lite Micro-Matte Magnetic Protective Cover, All-Inclusive Anti-Fall Cover</t>
        </is>
      </c>
      <c r="C50" s="2" t="inlineStr">
        <is>
          <t>Hard PC</t>
        </is>
      </c>
      <c r="D50" s="2" t="inlineStr">
        <is>
          <t>Titanium Gray</t>
        </is>
      </c>
      <c r="E50" s="2" t="inlineStr">
        <is>
          <t>Honor x80i</t>
        </is>
      </c>
      <c r="F50" s="2" t="inlineStr">
        <is>
          <t>No</t>
        </is>
      </c>
      <c r="G50" s="2" t="inlineStr">
        <is>
          <t>Link</t>
        </is>
      </c>
      <c r="H50" s="3" t="inlineStr">
        <is>
          <t>https://moveon.global/BD_en/products/0000000J9OECX1V4-suitable-for-huawei-honor-x80i-mobile-phone-case-honor-600lite-micro-matte-magnetic-protective-cover-all-inclusive-anti-fall-cover/1AD8344754691479</t>
        </is>
      </c>
      <c r="I50" s="3" t="inlineStr">
        <is>
          <t>Honor x80i/Hard PC/sku/HX80I-PC-GY-M.jpg</t>
        </is>
      </c>
      <c r="J50" s="4" t="n">
        <v>478.8</v>
      </c>
      <c r="K50" s="4" t="n">
        <v>10</v>
      </c>
      <c r="L50" s="4" t="n">
        <v>50</v>
      </c>
      <c r="M50" s="4" t="n">
        <v>5</v>
      </c>
      <c r="N50" s="4" t="n">
        <v>11.5</v>
      </c>
      <c r="O50" s="4" t="n">
        <v>20</v>
      </c>
      <c r="P50" s="4" t="n">
        <v>0</v>
      </c>
      <c r="Q50" s="4">
        <f>SUM(J50:P50)</f>
        <v/>
      </c>
      <c r="R50" s="4">
        <f>IF(Q50&lt;300, Q50*1.4, IF(Q50&lt;400, Q50*1.33, Q50*1.25))</f>
        <v/>
      </c>
      <c r="S50" s="5">
        <f>INT(R50/100)*100 + IF(MOD(ROUND(R50,0),100)&lt;25, 0, IF(MOD(ROUND(R50,0),100)&lt;=74, 49, 99))</f>
        <v/>
      </c>
      <c r="T50" s="4">
        <f>IF(S50&lt;300, 0, MIN(99, IF(S50&lt;500, S50*7%, IF(S50&lt;700, S50*12%, S50*15%))))</f>
        <v/>
      </c>
    </row>
    <row r="51">
      <c r="A51" s="6" t="inlineStr">
        <is>
          <t>HX80I-PC-WT-M</t>
        </is>
      </c>
      <c r="B51" s="7" t="inlineStr">
        <is>
          <t>Suitable for Huawei Honor X80I Mobile Phone Case, Honor 600Lite Micro-Matte Magnetic Protective Cover, All-Inclusive Anti-Fall Cover</t>
        </is>
      </c>
      <c r="C51" s="6" t="inlineStr">
        <is>
          <t>Hard PC</t>
        </is>
      </c>
      <c r="D51" s="6" t="inlineStr">
        <is>
          <t>Silver White</t>
        </is>
      </c>
      <c r="E51" s="6" t="inlineStr">
        <is>
          <t>Honor x80i</t>
        </is>
      </c>
      <c r="F51" s="6" t="inlineStr">
        <is>
          <t>No</t>
        </is>
      </c>
      <c r="G51" s="6" t="inlineStr">
        <is>
          <t>Link</t>
        </is>
      </c>
      <c r="H51" s="7" t="inlineStr">
        <is>
          <t>https://moveon.global/BD_en/products/0000000J9OECX1V4-suitable-for-huawei-honor-x80i-mobile-phone-case-honor-600lite-micro-matte-magnetic-protective-cover-all-inclusive-anti-fall-cover/1AD8344754691479</t>
        </is>
      </c>
      <c r="I51" s="7" t="inlineStr">
        <is>
          <t>Honor x80i/Hard PC/sku/HX80I-PC-WT-M.jpg</t>
        </is>
      </c>
      <c r="J51" s="8" t="n">
        <v>478.8</v>
      </c>
      <c r="K51" s="8" t="n">
        <v>10</v>
      </c>
      <c r="L51" s="8" t="n">
        <v>50</v>
      </c>
      <c r="M51" s="8" t="n">
        <v>5</v>
      </c>
      <c r="N51" s="8" t="n">
        <v>11.5</v>
      </c>
      <c r="O51" s="8" t="n">
        <v>20</v>
      </c>
      <c r="P51" s="8" t="n">
        <v>0</v>
      </c>
      <c r="Q51" s="8">
        <f>SUM(J51:P51)</f>
        <v/>
      </c>
      <c r="R51" s="8">
        <f>IF(Q51&lt;300, Q51*1.4, IF(Q51&lt;400, Q51*1.33, Q51*1.25))</f>
        <v/>
      </c>
      <c r="S51" s="9">
        <f>INT(R51/100)*100 + IF(MOD(ROUND(R51,0),100)&lt;25, 0, IF(MOD(ROUND(R51,0),100)&lt;=74, 49, 99))</f>
        <v/>
      </c>
      <c r="T51" s="8">
        <f>IF(S51&lt;300, 0, MIN(99, IF(S51&lt;500, S51*7%, IF(S51&lt;700, S51*12%, S51*15%))))</f>
        <v/>
      </c>
    </row>
    <row r="52">
      <c r="A52" s="2" t="inlineStr">
        <is>
          <t>HX80I-PC-GN-M</t>
        </is>
      </c>
      <c r="B52" s="3" t="inlineStr">
        <is>
          <t>Suitable for Huawei Honor X80I Mobile Phone Case, Honor 600Lite Micro-Matte Magnetic Protective Cover, All-Inclusive Anti-Fall Cover</t>
        </is>
      </c>
      <c r="C52" s="2" t="inlineStr">
        <is>
          <t>Hard PC</t>
        </is>
      </c>
      <c r="D52" s="2" t="inlineStr">
        <is>
          <t>Feitianqing</t>
        </is>
      </c>
      <c r="E52" s="2" t="inlineStr">
        <is>
          <t>Honor x80i</t>
        </is>
      </c>
      <c r="F52" s="2" t="inlineStr">
        <is>
          <t>No</t>
        </is>
      </c>
      <c r="G52" s="2" t="inlineStr">
        <is>
          <t>Link</t>
        </is>
      </c>
      <c r="H52" s="3" t="inlineStr">
        <is>
          <t>https://moveon.global/BD_en/products/0000000J9OECX1V4-suitable-for-huawei-honor-x80i-mobile-phone-case-honor-600lite-micro-matte-magnetic-protective-cover-all-inclusive-anti-fall-cover/1AD8344754691479</t>
        </is>
      </c>
      <c r="I52" s="3" t="inlineStr">
        <is>
          <t>Honor x80i/Hard PC/sku/HX80I-PC-GN-M.jpg</t>
        </is>
      </c>
      <c r="J52" s="4" t="n">
        <v>478.8</v>
      </c>
      <c r="K52" s="4" t="n">
        <v>10</v>
      </c>
      <c r="L52" s="4" t="n">
        <v>50</v>
      </c>
      <c r="M52" s="4" t="n">
        <v>5</v>
      </c>
      <c r="N52" s="4" t="n">
        <v>11.5</v>
      </c>
      <c r="O52" s="4" t="n">
        <v>20</v>
      </c>
      <c r="P52" s="4" t="n">
        <v>0</v>
      </c>
      <c r="Q52" s="4">
        <f>SUM(J52:P52)</f>
        <v/>
      </c>
      <c r="R52" s="4">
        <f>IF(Q52&lt;300, Q52*1.4, IF(Q52&lt;400, Q52*1.33, Q52*1.25))</f>
        <v/>
      </c>
      <c r="S52" s="5">
        <f>INT(R52/100)*100 + IF(MOD(ROUND(R52,0),100)&lt;25, 0, IF(MOD(ROUND(R52,0),100)&lt;=74, 49, 99))</f>
        <v/>
      </c>
      <c r="T52" s="4">
        <f>IF(S52&lt;300, 0, MIN(99, IF(S52&lt;500, S52*7%, IF(S52&lt;700, S52*12%, S52*15%))))</f>
        <v/>
      </c>
    </row>
    <row r="53">
      <c r="A53" s="6" t="inlineStr">
        <is>
          <t>HX80I-PC-GD-M</t>
        </is>
      </c>
      <c r="B53" s="7" t="inlineStr">
        <is>
          <t>Suitable for Huawei Honor X80I Mobile Phone Case, Honor 600Lite Micro-Matte Magnetic Protective Cover, All-Inclusive Anti-Fall Cover</t>
        </is>
      </c>
      <c r="C53" s="6" t="inlineStr">
        <is>
          <t>Hard PC</t>
        </is>
      </c>
      <c r="D53" s="6" t="inlineStr">
        <is>
          <t>Desert Gold</t>
        </is>
      </c>
      <c r="E53" s="6" t="inlineStr">
        <is>
          <t>Honor x80i</t>
        </is>
      </c>
      <c r="F53" s="6" t="inlineStr">
        <is>
          <t>No</t>
        </is>
      </c>
      <c r="G53" s="6" t="inlineStr">
        <is>
          <t>Link</t>
        </is>
      </c>
      <c r="H53" s="7" t="inlineStr">
        <is>
          <t>https://moveon.global/BD_en/products/0000000J9OECX1V4-suitable-for-huawei-honor-x80i-mobile-phone-case-honor-600lite-micro-matte-magnetic-protective-cover-all-inclusive-anti-fall-cover/1AD8344754691479</t>
        </is>
      </c>
      <c r="I53" s="7" t="inlineStr">
        <is>
          <t>Honor x80i/Hard PC/sku/HX80I-PC-GD-M.jpg</t>
        </is>
      </c>
      <c r="J53" s="8" t="n">
        <v>478.8</v>
      </c>
      <c r="K53" s="8" t="n">
        <v>10</v>
      </c>
      <c r="L53" s="8" t="n">
        <v>50</v>
      </c>
      <c r="M53" s="8" t="n">
        <v>5</v>
      </c>
      <c r="N53" s="8" t="n">
        <v>11.5</v>
      </c>
      <c r="O53" s="8" t="n">
        <v>20</v>
      </c>
      <c r="P53" s="8" t="n">
        <v>0</v>
      </c>
      <c r="Q53" s="8">
        <f>SUM(J53:P53)</f>
        <v/>
      </c>
      <c r="R53" s="8">
        <f>IF(Q53&lt;300, Q53*1.4, IF(Q53&lt;400, Q53*1.33, Q53*1.25))</f>
        <v/>
      </c>
      <c r="S53" s="9">
        <f>INT(R53/100)*100 + IF(MOD(ROUND(R53,0),100)&lt;25, 0, IF(MOD(ROUND(R53,0),100)&lt;=74, 49, 99))</f>
        <v/>
      </c>
      <c r="T53" s="8">
        <f>IF(S53&lt;300, 0, MIN(99, IF(S53&lt;500, S53*7%, IF(S53&lt;700, S53*12%, S53*15%))))</f>
        <v/>
      </c>
    </row>
    <row r="54">
      <c r="A54" s="2" t="inlineStr">
        <is>
          <t>HX80I-PC-BK-M</t>
        </is>
      </c>
      <c r="B54" s="3" t="inlineStr">
        <is>
          <t>Suitable for Huawei Honor X80I Mobile Phone Case, Honor 600Lite Micro-Matte Magnetic Protective Cover, All-Inclusive Anti-Fall Cover</t>
        </is>
      </c>
      <c r="C54" s="2" t="inlineStr">
        <is>
          <t>Hard PC</t>
        </is>
      </c>
      <c r="D54" s="2" t="inlineStr">
        <is>
          <t>Graphite Black</t>
        </is>
      </c>
      <c r="E54" s="2" t="inlineStr">
        <is>
          <t>Honor x80i</t>
        </is>
      </c>
      <c r="F54" s="2" t="inlineStr">
        <is>
          <t>No</t>
        </is>
      </c>
      <c r="G54" s="2" t="inlineStr">
        <is>
          <t>Link</t>
        </is>
      </c>
      <c r="H54" s="3" t="inlineStr">
        <is>
          <t>https://moveon.global/BD_en/products/0000000J9OECX1V4-suitable-for-huawei-honor-x80i-mobile-phone-case-honor-600lite-micro-matte-magnetic-protective-cover-all-inclusive-anti-fall-cover/1AD8344754691479</t>
        </is>
      </c>
      <c r="I54" s="3" t="inlineStr">
        <is>
          <t>Honor x80i/Hard PC/sku/HX80I-PC-BK-M.jpg</t>
        </is>
      </c>
      <c r="J54" s="4" t="n">
        <v>478.8</v>
      </c>
      <c r="K54" s="4" t="n">
        <v>10</v>
      </c>
      <c r="L54" s="4" t="n">
        <v>50</v>
      </c>
      <c r="M54" s="4" t="n">
        <v>5</v>
      </c>
      <c r="N54" s="4" t="n">
        <v>11.5</v>
      </c>
      <c r="O54" s="4" t="n">
        <v>20</v>
      </c>
      <c r="P54" s="4" t="n">
        <v>0</v>
      </c>
      <c r="Q54" s="4">
        <f>SUM(J54:P54)</f>
        <v/>
      </c>
      <c r="R54" s="4">
        <f>IF(Q54&lt;300, Q54*1.4, IF(Q54&lt;400, Q54*1.33, Q54*1.25))</f>
        <v/>
      </c>
      <c r="S54" s="5">
        <f>INT(R54/100)*100 + IF(MOD(ROUND(R54,0),100)&lt;25, 0, IF(MOD(ROUND(R54,0),100)&lt;=74, 49, 99))</f>
        <v/>
      </c>
      <c r="T54" s="4">
        <f>IF(S54&lt;300, 0, MIN(99, IF(S54&lt;500, S54*7%, IF(S54&lt;700, S54*12%, S54*15%))))</f>
        <v/>
      </c>
    </row>
    <row r="55">
      <c r="A55" s="6" t="inlineStr">
        <is>
          <t>H600L-PC-GY-M</t>
        </is>
      </c>
      <c r="B55" s="7" t="inlineStr">
        <is>
          <t>Suitable for Huawei Honor X80I Mobile Phone Case, Honor 600Lite Micro-Matte Magnetic Protective Cover, All-Inclusive Anti-Fall Cover</t>
        </is>
      </c>
      <c r="C55" s="6" t="inlineStr">
        <is>
          <t>Hard PC</t>
        </is>
      </c>
      <c r="D55" s="6" t="inlineStr">
        <is>
          <t>Titanium Gray</t>
        </is>
      </c>
      <c r="E55" s="6" t="inlineStr">
        <is>
          <t>Honor 600lite foreign version</t>
        </is>
      </c>
      <c r="F55" s="6" t="inlineStr">
        <is>
          <t>No</t>
        </is>
      </c>
      <c r="G55" s="6" t="inlineStr">
        <is>
          <t>Link</t>
        </is>
      </c>
      <c r="H55" s="7" t="inlineStr">
        <is>
          <t>https://moveon.global/BD_en/products/0000000J9OECX1V4-suitable-for-huawei-honor-x80i-mobile-phone-case-honor-600lite-micro-matte-magnetic-protective-cover-all-inclusive-anti-fall-cover/1AD8344754691479</t>
        </is>
      </c>
      <c r="I55" s="7" t="inlineStr">
        <is>
          <t>Honor 600lite foreign version/Hard PC/sku/H600L-PC-GY-M.jpg</t>
        </is>
      </c>
      <c r="J55" s="8" t="n">
        <v>478.8</v>
      </c>
      <c r="K55" s="8" t="n">
        <v>10</v>
      </c>
      <c r="L55" s="8" t="n">
        <v>50</v>
      </c>
      <c r="M55" s="8" t="n">
        <v>5</v>
      </c>
      <c r="N55" s="8" t="n">
        <v>11.5</v>
      </c>
      <c r="O55" s="8" t="n">
        <v>20</v>
      </c>
      <c r="P55" s="8" t="n">
        <v>0</v>
      </c>
      <c r="Q55" s="8">
        <f>SUM(J55:P55)</f>
        <v/>
      </c>
      <c r="R55" s="8">
        <f>IF(Q55&lt;300, Q55*1.4, IF(Q55&lt;400, Q55*1.33, Q55*1.25))</f>
        <v/>
      </c>
      <c r="S55" s="9">
        <f>INT(R55/100)*100 + IF(MOD(ROUND(R55,0),100)&lt;25, 0, IF(MOD(ROUND(R55,0),100)&lt;=74, 49, 99))</f>
        <v/>
      </c>
      <c r="T55" s="8">
        <f>IF(S55&lt;300, 0, MIN(99, IF(S55&lt;500, S55*7%, IF(S55&lt;700, S55*12%, S55*15%))))</f>
        <v/>
      </c>
    </row>
    <row r="56">
      <c r="A56" s="2" t="inlineStr">
        <is>
          <t>H600L-PC-WT-M</t>
        </is>
      </c>
      <c r="B56" s="3" t="inlineStr">
        <is>
          <t>Suitable for Huawei Honor X80I Mobile Phone Case, Honor 600Lite Micro-Matte Magnetic Protective Cover, All-Inclusive Anti-Fall Cover</t>
        </is>
      </c>
      <c r="C56" s="2" t="inlineStr">
        <is>
          <t>Hard PC</t>
        </is>
      </c>
      <c r="D56" s="2" t="inlineStr">
        <is>
          <t>Silver White</t>
        </is>
      </c>
      <c r="E56" s="2" t="inlineStr">
        <is>
          <t>Honor 600lite foreign version</t>
        </is>
      </c>
      <c r="F56" s="2" t="inlineStr">
        <is>
          <t>No</t>
        </is>
      </c>
      <c r="G56" s="2" t="inlineStr">
        <is>
          <t>Link</t>
        </is>
      </c>
      <c r="H56" s="3" t="inlineStr">
        <is>
          <t>https://moveon.global/BD_en/products/0000000J9OECX1V4-suitable-for-huawei-honor-x80i-mobile-phone-case-honor-600lite-micro-matte-magnetic-protective-cover-all-inclusive-anti-fall-cover/1AD8344754691479</t>
        </is>
      </c>
      <c r="I56" s="3" t="inlineStr">
        <is>
          <t>Honor 600lite foreign version/Hard PC/sku/H600L-PC-WT-M.jpg</t>
        </is>
      </c>
      <c r="J56" s="4" t="n">
        <v>478.8</v>
      </c>
      <c r="K56" s="4" t="n">
        <v>10</v>
      </c>
      <c r="L56" s="4" t="n">
        <v>50</v>
      </c>
      <c r="M56" s="4" t="n">
        <v>5</v>
      </c>
      <c r="N56" s="4" t="n">
        <v>11.5</v>
      </c>
      <c r="O56" s="4" t="n">
        <v>20</v>
      </c>
      <c r="P56" s="4" t="n">
        <v>0</v>
      </c>
      <c r="Q56" s="4">
        <f>SUM(J56:P56)</f>
        <v/>
      </c>
      <c r="R56" s="4">
        <f>IF(Q56&lt;300, Q56*1.4, IF(Q56&lt;400, Q56*1.33, Q56*1.25))</f>
        <v/>
      </c>
      <c r="S56" s="5">
        <f>INT(R56/100)*100 + IF(MOD(ROUND(R56,0),100)&lt;25, 0, IF(MOD(ROUND(R56,0),100)&lt;=74, 49, 99))</f>
        <v/>
      </c>
      <c r="T56" s="4">
        <f>IF(S56&lt;300, 0, MIN(99, IF(S56&lt;500, S56*7%, IF(S56&lt;700, S56*12%, S56*15%))))</f>
        <v/>
      </c>
    </row>
    <row r="57">
      <c r="A57" s="6" t="inlineStr">
        <is>
          <t>H600L-PC-GN-M</t>
        </is>
      </c>
      <c r="B57" s="7" t="inlineStr">
        <is>
          <t>Suitable for Huawei Honor X80I Mobile Phone Case, Honor 600Lite Micro-Matte Magnetic Protective Cover, All-Inclusive Anti-Fall Cover</t>
        </is>
      </c>
      <c r="C57" s="6" t="inlineStr">
        <is>
          <t>Hard PC</t>
        </is>
      </c>
      <c r="D57" s="6" t="inlineStr">
        <is>
          <t>Feitianqing</t>
        </is>
      </c>
      <c r="E57" s="6" t="inlineStr">
        <is>
          <t>Honor 600lite foreign version</t>
        </is>
      </c>
      <c r="F57" s="6" t="inlineStr">
        <is>
          <t>No</t>
        </is>
      </c>
      <c r="G57" s="6" t="inlineStr">
        <is>
          <t>Link</t>
        </is>
      </c>
      <c r="H57" s="7" t="inlineStr">
        <is>
          <t>https://moveon.global/BD_en/products/0000000J9OECX1V4-suitable-for-huawei-honor-x80i-mobile-phone-case-honor-600lite-micro-matte-magnetic-protective-cover-all-inclusive-anti-fall-cover/1AD8344754691479</t>
        </is>
      </c>
      <c r="I57" s="7" t="inlineStr">
        <is>
          <t>Honor 600lite foreign version/Hard PC/sku/H600L-PC-GN-M.jpg</t>
        </is>
      </c>
      <c r="J57" s="8" t="n">
        <v>478.8</v>
      </c>
      <c r="K57" s="8" t="n">
        <v>10</v>
      </c>
      <c r="L57" s="8" t="n">
        <v>50</v>
      </c>
      <c r="M57" s="8" t="n">
        <v>5</v>
      </c>
      <c r="N57" s="8" t="n">
        <v>11.5</v>
      </c>
      <c r="O57" s="8" t="n">
        <v>20</v>
      </c>
      <c r="P57" s="8" t="n">
        <v>0</v>
      </c>
      <c r="Q57" s="8">
        <f>SUM(J57:P57)</f>
        <v/>
      </c>
      <c r="R57" s="8">
        <f>IF(Q57&lt;300, Q57*1.4, IF(Q57&lt;400, Q57*1.33, Q57*1.25))</f>
        <v/>
      </c>
      <c r="S57" s="9">
        <f>INT(R57/100)*100 + IF(MOD(ROUND(R57,0),100)&lt;25, 0, IF(MOD(ROUND(R57,0),100)&lt;=74, 49, 99))</f>
        <v/>
      </c>
      <c r="T57" s="8">
        <f>IF(S57&lt;300, 0, MIN(99, IF(S57&lt;500, S57*7%, IF(S57&lt;700, S57*12%, S57*15%))))</f>
        <v/>
      </c>
    </row>
    <row r="58">
      <c r="A58" s="2" t="inlineStr">
        <is>
          <t>H600L-PC-GD-M</t>
        </is>
      </c>
      <c r="B58" s="3" t="inlineStr">
        <is>
          <t>Suitable for Huawei Honor X80I Mobile Phone Case, Honor 600Lite Micro-Matte Magnetic Protective Cover, All-Inclusive Anti-Fall Cover</t>
        </is>
      </c>
      <c r="C58" s="2" t="inlineStr">
        <is>
          <t>Hard PC</t>
        </is>
      </c>
      <c r="D58" s="2" t="inlineStr">
        <is>
          <t>Desert Gold</t>
        </is>
      </c>
      <c r="E58" s="2" t="inlineStr">
        <is>
          <t>Honor 600lite foreign version</t>
        </is>
      </c>
      <c r="F58" s="2" t="inlineStr">
        <is>
          <t>No</t>
        </is>
      </c>
      <c r="G58" s="2" t="inlineStr">
        <is>
          <t>Link</t>
        </is>
      </c>
      <c r="H58" s="3" t="inlineStr">
        <is>
          <t>https://moveon.global/BD_en/products/0000000J9OECX1V4-suitable-for-huawei-honor-x80i-mobile-phone-case-honor-600lite-micro-matte-magnetic-protective-cover-all-inclusive-anti-fall-cover/1AD8344754691479</t>
        </is>
      </c>
      <c r="I58" s="3" t="inlineStr">
        <is>
          <t>Honor 600lite foreign version/Hard PC/sku/H600L-PC-GD-M.jpg</t>
        </is>
      </c>
      <c r="J58" s="4" t="n">
        <v>478.8</v>
      </c>
      <c r="K58" s="4" t="n">
        <v>10</v>
      </c>
      <c r="L58" s="4" t="n">
        <v>50</v>
      </c>
      <c r="M58" s="4" t="n">
        <v>5</v>
      </c>
      <c r="N58" s="4" t="n">
        <v>11.5</v>
      </c>
      <c r="O58" s="4" t="n">
        <v>20</v>
      </c>
      <c r="P58" s="4" t="n">
        <v>0</v>
      </c>
      <c r="Q58" s="4">
        <f>SUM(J58:P58)</f>
        <v/>
      </c>
      <c r="R58" s="4">
        <f>IF(Q58&lt;300, Q58*1.4, IF(Q58&lt;400, Q58*1.33, Q58*1.25))</f>
        <v/>
      </c>
      <c r="S58" s="5">
        <f>INT(R58/100)*100 + IF(MOD(ROUND(R58,0),100)&lt;25, 0, IF(MOD(ROUND(R58,0),100)&lt;=74, 49, 99))</f>
        <v/>
      </c>
      <c r="T58" s="4">
        <f>IF(S58&lt;300, 0, MIN(99, IF(S58&lt;500, S58*7%, IF(S58&lt;700, S58*12%, S58*15%))))</f>
        <v/>
      </c>
    </row>
    <row r="59">
      <c r="A59" s="6" t="inlineStr">
        <is>
          <t>H600L-PC-BK-M</t>
        </is>
      </c>
      <c r="B59" s="7" t="inlineStr">
        <is>
          <t>Suitable for Huawei Honor X80I Mobile Phone Case, Honor 600Lite Micro-Matte Magnetic Protective Cover, All-Inclusive Anti-Fall Cover</t>
        </is>
      </c>
      <c r="C59" s="6" t="inlineStr">
        <is>
          <t>Hard PC</t>
        </is>
      </c>
      <c r="D59" s="6" t="inlineStr">
        <is>
          <t>Graphite Black</t>
        </is>
      </c>
      <c r="E59" s="6" t="inlineStr">
        <is>
          <t>Honor 600lite foreign version</t>
        </is>
      </c>
      <c r="F59" s="6" t="inlineStr">
        <is>
          <t>No</t>
        </is>
      </c>
      <c r="G59" s="6" t="inlineStr">
        <is>
          <t>Link</t>
        </is>
      </c>
      <c r="H59" s="7" t="inlineStr">
        <is>
          <t>https://moveon.global/BD_en/products/0000000J9OECX1V4-suitable-for-huawei-honor-x80i-mobile-phone-case-honor-600lite-micro-matte-magnetic-protective-cover-all-inclusive-anti-fall-cover/1AD8344754691479</t>
        </is>
      </c>
      <c r="I59" s="7" t="inlineStr">
        <is>
          <t>Honor 600lite foreign version/Hard PC/sku/H600L-PC-BK-M.jpg</t>
        </is>
      </c>
      <c r="J59" s="8" t="n">
        <v>478.8</v>
      </c>
      <c r="K59" s="8" t="n">
        <v>10</v>
      </c>
      <c r="L59" s="8" t="n">
        <v>50</v>
      </c>
      <c r="M59" s="8" t="n">
        <v>5</v>
      </c>
      <c r="N59" s="8" t="n">
        <v>11.5</v>
      </c>
      <c r="O59" s="8" t="n">
        <v>20</v>
      </c>
      <c r="P59" s="8" t="n">
        <v>0</v>
      </c>
      <c r="Q59" s="8">
        <f>SUM(J59:P59)</f>
        <v/>
      </c>
      <c r="R59" s="8">
        <f>IF(Q59&lt;300, Q59*1.4, IF(Q59&lt;400, Q59*1.33, Q59*1.25))</f>
        <v/>
      </c>
      <c r="S59" s="9">
        <f>INT(R59/100)*100 + IF(MOD(ROUND(R59,0),100)&lt;25, 0, IF(MOD(ROUND(R59,0),100)&lt;=74, 49, 99))</f>
        <v/>
      </c>
      <c r="T59" s="8">
        <f>IF(S59&lt;300, 0, MIN(99, IF(S59&lt;500, S59*7%, IF(S59&lt;700, S59*12%, S59*15%))))</f>
        <v/>
      </c>
    </row>
    <row r="60">
      <c r="A60" s="2" t="inlineStr">
        <is>
          <t>RN8-PC-RK-M</t>
        </is>
      </c>
      <c r="B60" s="3" t="inlineStr">
        <is>
          <t>Suitable for Realmeneo8 Mobile Phone Case, New Model, Realme Realmeneo7 Ultra-Thin Heat Dissipation Matte Fine Ring Magnetic Suction</t>
        </is>
      </c>
      <c r="C60" s="2" t="inlineStr">
        <is>
          <t>Hard PC</t>
        </is>
      </c>
      <c r="D60" s="2" t="inlineStr">
        <is>
          <t>Peak Rock Color</t>
        </is>
      </c>
      <c r="E60" s="2" t="inlineStr">
        <is>
          <t>Realme Neo8</t>
        </is>
      </c>
      <c r="F60" s="2" t="inlineStr">
        <is>
          <t>No</t>
        </is>
      </c>
      <c r="G60" s="2" t="inlineStr">
        <is>
          <t>Link</t>
        </is>
      </c>
      <c r="H60" s="3" t="inlineStr">
        <is>
          <t>https://moveon.global/BD_en/products/0000000EPYKRSUQ2-suitable-for-realmeneo8-mobile-phone-case-new-model-realme-realmeneo7-ultra-thin-heat-dissipation-matte-fine-ring-magnetic-suction/1AD8326183006533</t>
        </is>
      </c>
      <c r="I60" s="3" t="inlineStr">
        <is>
          <t>Realme Neo8/Hard PC/sku/RN8-PC-RK-M.jpg</t>
        </is>
      </c>
      <c r="J60" s="4" t="n">
        <v>367.08</v>
      </c>
      <c r="K60" s="4" t="n">
        <v>10</v>
      </c>
      <c r="L60" s="4" t="n">
        <v>31.2</v>
      </c>
      <c r="M60" s="4" t="n">
        <v>5</v>
      </c>
      <c r="N60" s="4" t="n">
        <v>11.5</v>
      </c>
      <c r="O60" s="4" t="n">
        <v>20</v>
      </c>
      <c r="P60" s="4" t="n">
        <v>0</v>
      </c>
      <c r="Q60" s="4">
        <f>SUM(J60:P60)</f>
        <v/>
      </c>
      <c r="R60" s="4">
        <f>IF(Q60&lt;300, Q60*1.4, IF(Q60&lt;400, Q60*1.33, Q60*1.25))</f>
        <v/>
      </c>
      <c r="S60" s="5">
        <f>INT(R60/100)*100 + IF(MOD(ROUND(R60,0),100)&lt;25, 0, IF(MOD(ROUND(R60,0),100)&lt;=74, 49, 99))</f>
        <v/>
      </c>
      <c r="T60" s="4">
        <f>IF(S60&lt;300, 0, MIN(99, IF(S60&lt;500, S60*7%, IF(S60&lt;700, S60*12%, S60*15%))))</f>
        <v/>
      </c>
    </row>
    <row r="61">
      <c r="A61" s="6" t="inlineStr">
        <is>
          <t>RN8-PC-GD-M</t>
        </is>
      </c>
      <c r="B61" s="7" t="inlineStr">
        <is>
          <t>Suitable for Realmeneo8 Mobile Phone Case, New Model, Realme Realmeneo7 Ultra-Thin Heat Dissipation Matte Fine Ring Magnetic Suction</t>
        </is>
      </c>
      <c r="C61" s="6" t="inlineStr">
        <is>
          <t>Hard PC</t>
        </is>
      </c>
      <c r="D61" s="6" t="inlineStr">
        <is>
          <t>Desert Gold</t>
        </is>
      </c>
      <c r="E61" s="6" t="inlineStr">
        <is>
          <t>Realme Neo8</t>
        </is>
      </c>
      <c r="F61" s="6" t="inlineStr">
        <is>
          <t>No</t>
        </is>
      </c>
      <c r="G61" s="6" t="inlineStr">
        <is>
          <t>Link</t>
        </is>
      </c>
      <c r="H61" s="7" t="inlineStr">
        <is>
          <t>https://moveon.global/BD_en/products/0000000EPYKRSUQ2-suitable-for-realmeneo8-mobile-phone-case-new-model-realme-realmeneo7-ultra-thin-heat-dissipation-matte-fine-ring-magnetic-suction/1AD8326183006533</t>
        </is>
      </c>
      <c r="I61" s="7" t="inlineStr">
        <is>
          <t>Realme Neo8/Hard PC/sku/RN8-PC-GD-M.jpg</t>
        </is>
      </c>
      <c r="J61" s="8" t="n">
        <v>367.08</v>
      </c>
      <c r="K61" s="8" t="n">
        <v>10</v>
      </c>
      <c r="L61" s="8" t="n">
        <v>31.2</v>
      </c>
      <c r="M61" s="8" t="n">
        <v>5</v>
      </c>
      <c r="N61" s="8" t="n">
        <v>11.5</v>
      </c>
      <c r="O61" s="8" t="n">
        <v>20</v>
      </c>
      <c r="P61" s="8" t="n">
        <v>0</v>
      </c>
      <c r="Q61" s="8">
        <f>SUM(J61:P61)</f>
        <v/>
      </c>
      <c r="R61" s="8">
        <f>IF(Q61&lt;300, Q61*1.4, IF(Q61&lt;400, Q61*1.33, Q61*1.25))</f>
        <v/>
      </c>
      <c r="S61" s="9">
        <f>INT(R61/100)*100 + IF(MOD(ROUND(R61,0),100)&lt;25, 0, IF(MOD(ROUND(R61,0),100)&lt;=74, 49, 99))</f>
        <v/>
      </c>
      <c r="T61" s="8">
        <f>IF(S61&lt;300, 0, MIN(99, IF(S61&lt;500, S61*7%, IF(S61&lt;700, S61*12%, S61*15%))))</f>
        <v/>
      </c>
    </row>
    <row r="62">
      <c r="A62" s="2" t="inlineStr">
        <is>
          <t>RN8-PC-BL-M</t>
        </is>
      </c>
      <c r="B62" s="3" t="inlineStr">
        <is>
          <t>Suitable for Realmeneo8 Mobile Phone Case, New Model, Realme Realmeneo7 Ultra-Thin Heat Dissipation Matte Fine Ring Magnetic Suction</t>
        </is>
      </c>
      <c r="C62" s="2" t="inlineStr">
        <is>
          <t>Hard PC</t>
        </is>
      </c>
      <c r="D62" s="2" t="inlineStr">
        <is>
          <t>Wave Blue</t>
        </is>
      </c>
      <c r="E62" s="2" t="inlineStr">
        <is>
          <t>Realme Neo8</t>
        </is>
      </c>
      <c r="F62" s="2" t="inlineStr">
        <is>
          <t>No</t>
        </is>
      </c>
      <c r="G62" s="2" t="inlineStr">
        <is>
          <t>Link</t>
        </is>
      </c>
      <c r="H62" s="3" t="inlineStr">
        <is>
          <t>https://moveon.global/BD_en/products/0000000EPYKRSUQ2-suitable-for-realmeneo8-mobile-phone-case-new-model-realme-realmeneo7-ultra-thin-heat-dissipation-matte-fine-ring-magnetic-suction/1AD8326183006533</t>
        </is>
      </c>
      <c r="I62" s="3" t="inlineStr">
        <is>
          <t>Realme Neo8/Hard PC/sku/RN8-PC-BL-M.jpg</t>
        </is>
      </c>
      <c r="J62" s="4" t="n">
        <v>367.08</v>
      </c>
      <c r="K62" s="4" t="n">
        <v>10</v>
      </c>
      <c r="L62" s="4" t="n">
        <v>31.2</v>
      </c>
      <c r="M62" s="4" t="n">
        <v>5</v>
      </c>
      <c r="N62" s="4" t="n">
        <v>11.5</v>
      </c>
      <c r="O62" s="4" t="n">
        <v>20</v>
      </c>
      <c r="P62" s="4" t="n">
        <v>0</v>
      </c>
      <c r="Q62" s="4">
        <f>SUM(J62:P62)</f>
        <v/>
      </c>
      <c r="R62" s="4">
        <f>IF(Q62&lt;300, Q62*1.4, IF(Q62&lt;400, Q62*1.33, Q62*1.25))</f>
        <v/>
      </c>
      <c r="S62" s="5">
        <f>INT(R62/100)*100 + IF(MOD(ROUND(R62,0),100)&lt;25, 0, IF(MOD(ROUND(R62,0),100)&lt;=74, 49, 99))</f>
        <v/>
      </c>
      <c r="T62" s="4">
        <f>IF(S62&lt;300, 0, MIN(99, IF(S62&lt;500, S62*7%, IF(S62&lt;700, S62*12%, S62*15%))))</f>
        <v/>
      </c>
    </row>
    <row r="63">
      <c r="A63" s="6" t="inlineStr">
        <is>
          <t>RN8-PC-PK-M</t>
        </is>
      </c>
      <c r="B63" s="7" t="inlineStr">
        <is>
          <t>Suitable for Realmeneo8 Mobile Phone Case, New Model, Realme Realmeneo7 Ultra-Thin Heat Dissipation Matte Fine Ring Magnetic Suction</t>
        </is>
      </c>
      <c r="C63" s="6" t="inlineStr">
        <is>
          <t>Hard PC</t>
        </is>
      </c>
      <c r="D63" s="6" t="inlineStr">
        <is>
          <t>Sakura Pink</t>
        </is>
      </c>
      <c r="E63" s="6" t="inlineStr">
        <is>
          <t>Realme Neo8</t>
        </is>
      </c>
      <c r="F63" s="6" t="inlineStr">
        <is>
          <t>No</t>
        </is>
      </c>
      <c r="G63" s="6" t="inlineStr">
        <is>
          <t>Link</t>
        </is>
      </c>
      <c r="H63" s="7" t="inlineStr">
        <is>
          <t>https://moveon.global/BD_en/products/0000000EPYKRSUQ2-suitable-for-realmeneo8-mobile-phone-case-new-model-realme-realmeneo7-ultra-thin-heat-dissipation-matte-fine-ring-magnetic-suction/1AD8326183006533</t>
        </is>
      </c>
      <c r="I63" s="7" t="inlineStr">
        <is>
          <t>Realme Neo8/Hard PC/sku/RN8-PC-PK-M.jpg</t>
        </is>
      </c>
      <c r="J63" s="8" t="n">
        <v>367.08</v>
      </c>
      <c r="K63" s="8" t="n">
        <v>10</v>
      </c>
      <c r="L63" s="8" t="n">
        <v>31.2</v>
      </c>
      <c r="M63" s="8" t="n">
        <v>5</v>
      </c>
      <c r="N63" s="8" t="n">
        <v>11.5</v>
      </c>
      <c r="O63" s="8" t="n">
        <v>20</v>
      </c>
      <c r="P63" s="8" t="n">
        <v>0</v>
      </c>
      <c r="Q63" s="8">
        <f>SUM(J63:P63)</f>
        <v/>
      </c>
      <c r="R63" s="8">
        <f>IF(Q63&lt;300, Q63*1.4, IF(Q63&lt;400, Q63*1.33, Q63*1.25))</f>
        <v/>
      </c>
      <c r="S63" s="9">
        <f>INT(R63/100)*100 + IF(MOD(ROUND(R63,0),100)&lt;25, 0, IF(MOD(ROUND(R63,0),100)&lt;=74, 49, 99))</f>
        <v/>
      </c>
      <c r="T63" s="8">
        <f>IF(S63&lt;300, 0, MIN(99, IF(S63&lt;500, S63*7%, IF(S63&lt;700, S63*12%, S63*15%))))</f>
        <v/>
      </c>
    </row>
    <row r="64">
      <c r="A64" s="2" t="inlineStr">
        <is>
          <t>RN8-PC-CG-M</t>
        </is>
      </c>
      <c r="B64" s="3" t="inlineStr">
        <is>
          <t>Suitable for Realmeneo8 Mobile Phone Case, New Model, Realme Realmeneo7 Ultra-Thin Heat Dissipation Matte Fine Ring Magnetic Suction</t>
        </is>
      </c>
      <c r="C64" s="2" t="inlineStr">
        <is>
          <t>Hard PC</t>
        </is>
      </c>
      <c r="D64" s="2" t="inlineStr">
        <is>
          <t>Carbon Gray</t>
        </is>
      </c>
      <c r="E64" s="2" t="inlineStr">
        <is>
          <t>Realme Neo8</t>
        </is>
      </c>
      <c r="F64" s="2" t="inlineStr">
        <is>
          <t>No</t>
        </is>
      </c>
      <c r="G64" s="2" t="inlineStr">
        <is>
          <t>Link</t>
        </is>
      </c>
      <c r="H64" s="3" t="inlineStr">
        <is>
          <t>https://moveon.global/BD_en/products/0000000EPYKRSUQ2-suitable-for-realmeneo8-mobile-phone-case-new-model-realme-realmeneo7-ultra-thin-heat-dissipation-matte-fine-ring-magnetic-suction/1AD8326183006533</t>
        </is>
      </c>
      <c r="I64" s="3" t="inlineStr">
        <is>
          <t>Realme Neo8/Hard PC/sku/RN8-PC-CG-M.jpg</t>
        </is>
      </c>
      <c r="J64" s="4" t="n">
        <v>367.08</v>
      </c>
      <c r="K64" s="4" t="n">
        <v>10</v>
      </c>
      <c r="L64" s="4" t="n">
        <v>31.2</v>
      </c>
      <c r="M64" s="4" t="n">
        <v>5</v>
      </c>
      <c r="N64" s="4" t="n">
        <v>11.5</v>
      </c>
      <c r="O64" s="4" t="n">
        <v>20</v>
      </c>
      <c r="P64" s="4" t="n">
        <v>0</v>
      </c>
      <c r="Q64" s="4">
        <f>SUM(J64:P64)</f>
        <v/>
      </c>
      <c r="R64" s="4">
        <f>IF(Q64&lt;300, Q64*1.4, IF(Q64&lt;400, Q64*1.33, Q64*1.25))</f>
        <v/>
      </c>
      <c r="S64" s="5">
        <f>INT(R64/100)*100 + IF(MOD(ROUND(R64,0),100)&lt;25, 0, IF(MOD(ROUND(R64,0),100)&lt;=74, 49, 99))</f>
        <v/>
      </c>
      <c r="T64" s="4">
        <f>IF(S64&lt;300, 0, MIN(99, IF(S64&lt;500, S64*7%, IF(S64&lt;700, S64*12%, S64*15%))))</f>
        <v/>
      </c>
    </row>
    <row r="65">
      <c r="A65" s="6" t="inlineStr">
        <is>
          <t>RN8-PC-PR-M</t>
        </is>
      </c>
      <c r="B65" s="7" t="inlineStr">
        <is>
          <t>Suitable for Realmeneo8 Mobile Phone Case, New Model, Realme Realmeneo7 Ultra-Thin Heat Dissipation Matte Fine Ring Magnetic Suction</t>
        </is>
      </c>
      <c r="C65" s="6" t="inlineStr">
        <is>
          <t>Hard PC</t>
        </is>
      </c>
      <c r="D65" s="6" t="inlineStr">
        <is>
          <t>Sunset Purple</t>
        </is>
      </c>
      <c r="E65" s="6" t="inlineStr">
        <is>
          <t>Realme Neo8</t>
        </is>
      </c>
      <c r="F65" s="6" t="inlineStr">
        <is>
          <t>No</t>
        </is>
      </c>
      <c r="G65" s="6" t="inlineStr">
        <is>
          <t>Link</t>
        </is>
      </c>
      <c r="H65" s="7" t="inlineStr">
        <is>
          <t>https://moveon.global/BD_en/products/0000000EPYKRSUQ2-suitable-for-realmeneo8-mobile-phone-case-new-model-realme-realmeneo7-ultra-thin-heat-dissipation-matte-fine-ring-magnetic-suction/1AD8326183006533</t>
        </is>
      </c>
      <c r="I65" s="7" t="inlineStr">
        <is>
          <t>Realme Neo8/Hard PC/sku/RN8-PC-PR-M.jpg</t>
        </is>
      </c>
      <c r="J65" s="8" t="n">
        <v>367.08</v>
      </c>
      <c r="K65" s="8" t="n">
        <v>10</v>
      </c>
      <c r="L65" s="8" t="n">
        <v>31.2</v>
      </c>
      <c r="M65" s="8" t="n">
        <v>5</v>
      </c>
      <c r="N65" s="8" t="n">
        <v>11.5</v>
      </c>
      <c r="O65" s="8" t="n">
        <v>20</v>
      </c>
      <c r="P65" s="8" t="n">
        <v>0</v>
      </c>
      <c r="Q65" s="8">
        <f>SUM(J65:P65)</f>
        <v/>
      </c>
      <c r="R65" s="8">
        <f>IF(Q65&lt;300, Q65*1.4, IF(Q65&lt;400, Q65*1.33, Q65*1.25))</f>
        <v/>
      </c>
      <c r="S65" s="9">
        <f>INT(R65/100)*100 + IF(MOD(ROUND(R65,0),100)&lt;25, 0, IF(MOD(ROUND(R65,0),100)&lt;=74, 49, 99))</f>
        <v/>
      </c>
      <c r="T65" s="8">
        <f>IF(S65&lt;300, 0, MIN(99, IF(S65&lt;500, S65*7%, IF(S65&lt;700, S65*12%, S65*15%))))</f>
        <v/>
      </c>
    </row>
    <row r="66">
      <c r="A66" s="2" t="inlineStr">
        <is>
          <t>RN8-PC-TG-M</t>
        </is>
      </c>
      <c r="B66" s="3" t="inlineStr">
        <is>
          <t>Suitable for Realmeneo8 Mobile Phone Case, New Model, Realme Realmeneo7 Ultra-Thin Heat Dissipation Matte Fine Ring Magnetic Suction</t>
        </is>
      </c>
      <c r="C66" s="2" t="inlineStr">
        <is>
          <t>Hard PC</t>
        </is>
      </c>
      <c r="D66" s="2" t="inlineStr">
        <is>
          <t>Titanium Gray</t>
        </is>
      </c>
      <c r="E66" s="2" t="inlineStr">
        <is>
          <t>Realme Neo8</t>
        </is>
      </c>
      <c r="F66" s="2" t="inlineStr">
        <is>
          <t>No</t>
        </is>
      </c>
      <c r="G66" s="2" t="inlineStr">
        <is>
          <t>Link</t>
        </is>
      </c>
      <c r="H66" s="3" t="inlineStr">
        <is>
          <t>https://moveon.global/BD_en/products/0000000EPYKRSUQ2-suitable-for-realmeneo8-mobile-phone-case-new-model-realme-realmeneo7-ultra-thin-heat-dissipation-matte-fine-ring-magnetic-suction/1AD8326183006533</t>
        </is>
      </c>
      <c r="I66" s="3" t="inlineStr">
        <is>
          <t>Realme Neo8/Hard PC/sku/RN8-PC-TG-M.jpg</t>
        </is>
      </c>
      <c r="J66" s="4" t="n">
        <v>367.08</v>
      </c>
      <c r="K66" s="4" t="n">
        <v>10</v>
      </c>
      <c r="L66" s="4" t="n">
        <v>31.2</v>
      </c>
      <c r="M66" s="4" t="n">
        <v>5</v>
      </c>
      <c r="N66" s="4" t="n">
        <v>11.5</v>
      </c>
      <c r="O66" s="4" t="n">
        <v>20</v>
      </c>
      <c r="P66" s="4" t="n">
        <v>0</v>
      </c>
      <c r="Q66" s="4">
        <f>SUM(J66:P66)</f>
        <v/>
      </c>
      <c r="R66" s="4">
        <f>IF(Q66&lt;300, Q66*1.4, IF(Q66&lt;400, Q66*1.33, Q66*1.25))</f>
        <v/>
      </c>
      <c r="S66" s="5">
        <f>INT(R66/100)*100 + IF(MOD(ROUND(R66,0),100)&lt;25, 0, IF(MOD(ROUND(R66,0),100)&lt;=74, 49, 99))</f>
        <v/>
      </c>
      <c r="T66" s="4">
        <f>IF(S66&lt;300, 0, MIN(99, IF(S66&lt;500, S66*7%, IF(S66&lt;700, S66*12%, S66*15%))))</f>
        <v/>
      </c>
    </row>
    <row r="67">
      <c r="A67" s="6" t="inlineStr">
        <is>
          <t>RN8-PC-BK-M</t>
        </is>
      </c>
      <c r="B67" s="7" t="inlineStr">
        <is>
          <t>Suitable for Realmeneo8 Mobile Phone Case, New Model, Realme Realmeneo7 Ultra-Thin Heat Dissipation Matte Fine Ring Magnetic Suction</t>
        </is>
      </c>
      <c r="C67" s="6" t="inlineStr">
        <is>
          <t>Hard PC</t>
        </is>
      </c>
      <c r="D67" s="6" t="inlineStr">
        <is>
          <t>Classic Black</t>
        </is>
      </c>
      <c r="E67" s="6" t="inlineStr">
        <is>
          <t>Realme Neo8</t>
        </is>
      </c>
      <c r="F67" s="6" t="inlineStr">
        <is>
          <t>No</t>
        </is>
      </c>
      <c r="G67" s="6" t="inlineStr">
        <is>
          <t>Link</t>
        </is>
      </c>
      <c r="H67" s="7" t="inlineStr">
        <is>
          <t>https://moveon.global/BD_en/products/0000000EPYKRSUQ2-suitable-for-realmeneo8-mobile-phone-case-new-model-realme-realmeneo7-ultra-thin-heat-dissipation-matte-fine-ring-magnetic-suction/1AD8326183006533</t>
        </is>
      </c>
      <c r="I67" s="7" t="inlineStr">
        <is>
          <t>Realme Neo8/Hard PC/sku/RN8-PC-BK-M.jpg</t>
        </is>
      </c>
      <c r="J67" s="8" t="n">
        <v>367.08</v>
      </c>
      <c r="K67" s="8" t="n">
        <v>10</v>
      </c>
      <c r="L67" s="8" t="n">
        <v>31.2</v>
      </c>
      <c r="M67" s="8" t="n">
        <v>5</v>
      </c>
      <c r="N67" s="8" t="n">
        <v>11.5</v>
      </c>
      <c r="O67" s="8" t="n">
        <v>20</v>
      </c>
      <c r="P67" s="8" t="n">
        <v>0</v>
      </c>
      <c r="Q67" s="8">
        <f>SUM(J67:P67)</f>
        <v/>
      </c>
      <c r="R67" s="8">
        <f>IF(Q67&lt;300, Q67*1.4, IF(Q67&lt;400, Q67*1.33, Q67*1.25))</f>
        <v/>
      </c>
      <c r="S67" s="9">
        <f>INT(R67/100)*100 + IF(MOD(ROUND(R67,0),100)&lt;25, 0, IF(MOD(ROUND(R67,0),100)&lt;=74, 49, 99))</f>
        <v/>
      </c>
      <c r="T67" s="8">
        <f>IF(S67&lt;300, 0, MIN(99, IF(S67&lt;500, S67*7%, IF(S67&lt;700, S67*12%, S67*15%))))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2026-10-18T16:44:11Z</dcterms:created>
  <dcterms:modified xsi:type="dcterms:W3CDTF">2026-10-18T16:44:11Z</dcterms:modified>
</cp:coreProperties>
</file>