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32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Suitable for Honor 600Lite Foreign Version Mobile Phone Case Protective Cover with Built-In Magnetic Suction, Lightweight, Fine Holes, and Hard Shell</t>
        </is>
      </c>
      <c r="B40" s="3" t="inlineStr">
        <is>
          <t>H600L-SIL-BK-M</t>
        </is>
      </c>
      <c r="C40" s="3" t="inlineStr">
        <is>
          <t>Silicone</t>
        </is>
      </c>
      <c r="D40" s="3" t="inlineStr">
        <is>
          <t>Moiré Black</t>
        </is>
      </c>
      <c r="E40" s="3" t="inlineStr">
        <is>
          <t>Honor 600 lite</t>
        </is>
      </c>
      <c r="F40" s="3" t="inlineStr">
        <is>
          <t>No</t>
        </is>
      </c>
      <c r="G40" s="3" t="inlineStr">
        <is>
          <t>Link</t>
        </is>
      </c>
      <c r="H40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2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Suitable for Honor 600Lite Foreign Version Mobile Phone Case Protective Cover with Built-In Magnetic Suction, Lightweight, Fine Holes, and Hard Shell</t>
        </is>
      </c>
      <c r="B41" s="7" t="inlineStr">
        <is>
          <t>H600L-SIL-BL-M</t>
        </is>
      </c>
      <c r="C41" s="7" t="inlineStr">
        <is>
          <t>Silicone</t>
        </is>
      </c>
      <c r="D41" s="7" t="inlineStr">
        <is>
          <t>Gentleman Blue</t>
        </is>
      </c>
      <c r="E41" s="7" t="inlineStr">
        <is>
          <t>Honor 600 lite</t>
        </is>
      </c>
      <c r="F41" s="7" t="inlineStr">
        <is>
          <t>No</t>
        </is>
      </c>
      <c r="G41" s="7" t="inlineStr">
        <is>
          <t>Link</t>
        </is>
      </c>
      <c r="H41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6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Suitable for Honor 600Lite Foreign Version Mobile Phone Case Protective Cover with Built-In Magnetic Suction, Lightweight, Fine Holes, and Hard Shell</t>
        </is>
      </c>
      <c r="B42" s="3" t="inlineStr">
        <is>
          <t>H600L-SIL-GN-M</t>
        </is>
      </c>
      <c r="C42" s="3" t="inlineStr">
        <is>
          <t>Silicone</t>
        </is>
      </c>
      <c r="D42" s="3" t="inlineStr">
        <is>
          <t>Dark Night Green</t>
        </is>
      </c>
      <c r="E42" s="3" t="inlineStr">
        <is>
          <t>Honor 600 lite</t>
        </is>
      </c>
      <c r="F42" s="3" t="inlineStr">
        <is>
          <t>No</t>
        </is>
      </c>
      <c r="G42" s="3" t="inlineStr">
        <is>
          <t>Link</t>
        </is>
      </c>
      <c r="H42" s="2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2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Suitable for Honor 600Lite Foreign Version Mobile Phone Case Protective Cover with Built-In Magnetic Suction, Lightweight, Fine Holes, and Hard Shell</t>
        </is>
      </c>
      <c r="B43" s="7" t="inlineStr">
        <is>
          <t>H600L-SIL-RD-M</t>
        </is>
      </c>
      <c r="C43" s="7" t="inlineStr">
        <is>
          <t>Silicone</t>
        </is>
      </c>
      <c r="D43" s="7" t="inlineStr">
        <is>
          <t>Charming Red</t>
        </is>
      </c>
      <c r="E43" s="7" t="inlineStr">
        <is>
          <t>Honor 600 lite</t>
        </is>
      </c>
      <c r="F43" s="7" t="inlineStr">
        <is>
          <t>No</t>
        </is>
      </c>
      <c r="G43" s="7" t="inlineStr">
        <is>
          <t>Link</t>
        </is>
      </c>
      <c r="H43" s="6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6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Sangjieshi Suitable for Honor X80Promax Mobile Phone Case X70 with Stand X60Pro Transparent X50 Full-Cover Airbag</t>
        </is>
      </c>
      <c r="B44" s="3" t="inlineStr">
        <is>
          <t>HX80I-TPU-SV-E</t>
        </is>
      </c>
      <c r="C44" s="3" t="inlineStr">
        <is>
          <t>TPU</t>
        </is>
      </c>
      <c r="D44" s="3" t="inlineStr">
        <is>
          <t>Silver</t>
        </is>
      </c>
      <c r="E44" s="3" t="inlineStr">
        <is>
          <t>Honor X80i</t>
        </is>
      </c>
      <c r="F44" s="3" t="inlineStr">
        <is>
          <t>No</t>
        </is>
      </c>
      <c r="G44" s="3" t="inlineStr">
        <is>
          <t>Link</t>
        </is>
      </c>
      <c r="H44" s="2" t="inlineStr">
        <is>
          <t>https://moveon.global/BD_en/products/0000000125WCGFR9-sangjieshi-suitable-for-honor-x80promax-mobile-phone-case-x70-with-stand-x60pro-transparent-x50-full-cover-airbag/1AD8341131122671</t>
        </is>
      </c>
      <c r="I44" s="2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Sangjieshi Suitable for Honor X80Promax Mobile Phone Case X70 with Stand X60Pro Transparent X50 Full-Cover Airbag</t>
        </is>
      </c>
      <c r="B45" s="7" t="inlineStr">
        <is>
          <t>HX80I-TPU-BK-E</t>
        </is>
      </c>
      <c r="C45" s="7" t="inlineStr">
        <is>
          <t>TPU</t>
        </is>
      </c>
      <c r="D45" s="7" t="inlineStr">
        <is>
          <t>Black</t>
        </is>
      </c>
      <c r="E45" s="7" t="inlineStr">
        <is>
          <t>Honor X80i</t>
        </is>
      </c>
      <c r="F45" s="7" t="inlineStr">
        <is>
          <t>No</t>
        </is>
      </c>
      <c r="G45" s="7" t="inlineStr">
        <is>
          <t>Link</t>
        </is>
      </c>
      <c r="H45" s="6" t="inlineStr">
        <is>
          <t>https://moveon.global/BD_en/products/0000000125WCGFR9-sangjieshi-suitable-for-honor-x80promax-mobile-phone-case-x70-with-stand-x60pro-transparent-x50-full-cover-airbag/1AD8341131122671</t>
        </is>
      </c>
      <c r="I45" s="6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Sangjieshi Suitable for Honor X80Promax Mobile Phone Case X70 with Stand X60Pro Transparent X50 Full-Cover Airbag</t>
        </is>
      </c>
      <c r="B46" s="3" t="inlineStr">
        <is>
          <t>HX80I-TPU-PR-E</t>
        </is>
      </c>
      <c r="C46" s="3" t="inlineStr">
        <is>
          <t>TPU</t>
        </is>
      </c>
      <c r="D46" s="3" t="inlineStr">
        <is>
          <t>Purple</t>
        </is>
      </c>
      <c r="E46" s="3" t="inlineStr">
        <is>
          <t>Honor X80i</t>
        </is>
      </c>
      <c r="F46" s="3" t="inlineStr">
        <is>
          <t>No</t>
        </is>
      </c>
      <c r="G46" s="3" t="inlineStr">
        <is>
          <t>Link</t>
        </is>
      </c>
      <c r="H46" s="2" t="inlineStr">
        <is>
          <t>https://moveon.global/BD_en/products/0000000125WCGFR9-sangjieshi-suitable-for-honor-x80promax-mobile-phone-case-x70-with-stand-x60pro-transparent-x50-full-cover-airbag/1AD8341131122671</t>
        </is>
      </c>
      <c r="I46" s="2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Sangjieshi Suitable for Honor X80Promax Mobile Phone Case X70 with Stand X60Pro Transparent X50 Full-Cover Airbag</t>
        </is>
      </c>
      <c r="B47" s="7" t="inlineStr">
        <is>
          <t>HX80I-TPU-BL-E</t>
        </is>
      </c>
      <c r="C47" s="7" t="inlineStr">
        <is>
          <t>TPU</t>
        </is>
      </c>
      <c r="D47" s="7" t="inlineStr">
        <is>
          <t>Blue</t>
        </is>
      </c>
      <c r="E47" s="7" t="inlineStr">
        <is>
          <t>Honor X80i</t>
        </is>
      </c>
      <c r="F47" s="7" t="inlineStr">
        <is>
          <t>No</t>
        </is>
      </c>
      <c r="G47" s="7" t="inlineStr">
        <is>
          <t>Link</t>
        </is>
      </c>
      <c r="H47" s="6" t="inlineStr">
        <is>
          <t>https://moveon.global/BD_en/products/0000000125WCGFR9-sangjieshi-suitable-for-honor-x80promax-mobile-phone-case-x70-with-stand-x60pro-transparent-x50-full-cover-airbag/1AD8341131122671</t>
        </is>
      </c>
      <c r="I47" s="6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Sangjieshi Suitable for Honor X80Promax Mobile Phone Case X70 with Stand X60Pro Transparent X50 Full-Cover Airbag</t>
        </is>
      </c>
      <c r="B48" s="3" t="inlineStr">
        <is>
          <t>HX80I-TPU-PK-E</t>
        </is>
      </c>
      <c r="C48" s="3" t="inlineStr">
        <is>
          <t>TPU</t>
        </is>
      </c>
      <c r="D48" s="3" t="inlineStr">
        <is>
          <t>Pink</t>
        </is>
      </c>
      <c r="E48" s="3" t="inlineStr">
        <is>
          <t>Honor X80i</t>
        </is>
      </c>
      <c r="F48" s="3" t="inlineStr">
        <is>
          <t>No</t>
        </is>
      </c>
      <c r="G48" s="3" t="inlineStr">
        <is>
          <t>Link</t>
        </is>
      </c>
      <c r="H48" s="2" t="inlineStr">
        <is>
          <t>https://moveon.global/BD_en/products/0000000125WCGFR9-sangjieshi-suitable-for-honor-x80promax-mobile-phone-case-x70-with-stand-x60pro-transparent-x50-full-cover-airbag/1AD8341131122671</t>
        </is>
      </c>
      <c r="I48" s="2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Sangjieshi Suitable for Honor X80Promax Mobile Phone Case X70 with Stand X60Pro Transparent X50 Full-Cover Airbag</t>
        </is>
      </c>
      <c r="B49" s="7" t="inlineStr">
        <is>
          <t>HX80I-TPU-GN-E</t>
        </is>
      </c>
      <c r="C49" s="7" t="inlineStr">
        <is>
          <t>TPU</t>
        </is>
      </c>
      <c r="D49" s="7" t="inlineStr">
        <is>
          <t>Green</t>
        </is>
      </c>
      <c r="E49" s="7" t="inlineStr">
        <is>
          <t>Honor X80i</t>
        </is>
      </c>
      <c r="F49" s="7" t="inlineStr">
        <is>
          <t>No</t>
        </is>
      </c>
      <c r="G49" s="7" t="inlineStr">
        <is>
          <t>Link</t>
        </is>
      </c>
      <c r="H49" s="6" t="inlineStr">
        <is>
          <t>https://moveon.global/BD_en/products/0000000125WCGFR9-sangjieshi-suitable-for-honor-x80promax-mobile-phone-case-x70-with-stand-x60pro-transparent-x50-full-cover-airbag/1AD8341131122671</t>
        </is>
      </c>
      <c r="I49" s="6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  <row r="50">
      <c r="A50" s="2" t="inlineStr">
        <is>
          <t>Suitable for Huawei Honor X80I Mobile Phone Case, Honor 600Lite Micro-Matte Magnetic Protective Cover, All-Inclusive Anti-Fall Cover</t>
        </is>
      </c>
      <c r="B50" s="3" t="inlineStr">
        <is>
          <t>HX80I-PC-GY-M</t>
        </is>
      </c>
      <c r="C50" s="3" t="inlineStr">
        <is>
          <t>Hard PC</t>
        </is>
      </c>
      <c r="D50" s="3" t="inlineStr">
        <is>
          <t>Titanium Gray</t>
        </is>
      </c>
      <c r="E50" s="3" t="inlineStr">
        <is>
          <t>Honor x80i</t>
        </is>
      </c>
      <c r="F50" s="3" t="inlineStr">
        <is>
          <t>No</t>
        </is>
      </c>
      <c r="G50" s="3" t="inlineStr">
        <is>
          <t>Link</t>
        </is>
      </c>
      <c r="H50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0" s="2" t="inlineStr">
        <is>
          <t>Honor x80i/Hard PC/sku/HX80I-PC-GY-M.jpg</t>
        </is>
      </c>
      <c r="J50" s="4" t="n">
        <v>478.8</v>
      </c>
      <c r="K50" s="4" t="n">
        <v>10</v>
      </c>
      <c r="L50" s="4" t="n">
        <v>50</v>
      </c>
      <c r="M50" s="4" t="n">
        <v>5</v>
      </c>
      <c r="N50" s="4" t="n">
        <v>11.5</v>
      </c>
      <c r="O50" s="4" t="n">
        <v>20</v>
      </c>
      <c r="P50" s="4" t="n">
        <v>0</v>
      </c>
      <c r="Q50" s="4">
        <f>SUM(J50:P50)</f>
        <v/>
      </c>
      <c r="R50" s="4">
        <f>IF(Q50&lt;300, Q50*1.4, IF(Q50&lt;400, Q50*1.33, Q50*1.25))</f>
        <v/>
      </c>
      <c r="S50" s="5">
        <f>INT(R50/100)*100 + IF(MOD(ROUND(R50,0),100)&lt;25, 0, IF(MOD(ROUND(R50,0),100)&lt;=74, 49, 99))</f>
        <v/>
      </c>
      <c r="T50" s="4">
        <f>IF(S50&lt;300, 0, MIN(99, IF(S50&lt;500, S50*7%, IF(S50&lt;700, S50*12%, S50*15%))))</f>
        <v/>
      </c>
    </row>
    <row r="51">
      <c r="A51" s="6" t="inlineStr">
        <is>
          <t>Suitable for Huawei Honor X80I Mobile Phone Case, Honor 600Lite Micro-Matte Magnetic Protective Cover, All-Inclusive Anti-Fall Cover</t>
        </is>
      </c>
      <c r="B51" s="7" t="inlineStr">
        <is>
          <t>HX80I-PC-WT-M</t>
        </is>
      </c>
      <c r="C51" s="7" t="inlineStr">
        <is>
          <t>Hard PC</t>
        </is>
      </c>
      <c r="D51" s="7" t="inlineStr">
        <is>
          <t>Silver White</t>
        </is>
      </c>
      <c r="E51" s="7" t="inlineStr">
        <is>
          <t>Honor x80i</t>
        </is>
      </c>
      <c r="F51" s="7" t="inlineStr">
        <is>
          <t>No</t>
        </is>
      </c>
      <c r="G51" s="7" t="inlineStr">
        <is>
          <t>Link</t>
        </is>
      </c>
      <c r="H51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1" s="6" t="inlineStr">
        <is>
          <t>Honor x80i/Hard PC/sku/HX80I-PC-WT-M.jpg</t>
        </is>
      </c>
      <c r="J51" s="8" t="n">
        <v>478.8</v>
      </c>
      <c r="K51" s="8" t="n">
        <v>10</v>
      </c>
      <c r="L51" s="8" t="n">
        <v>50</v>
      </c>
      <c r="M51" s="8" t="n">
        <v>5</v>
      </c>
      <c r="N51" s="8" t="n">
        <v>11.5</v>
      </c>
      <c r="O51" s="8" t="n">
        <v>20</v>
      </c>
      <c r="P51" s="8" t="n">
        <v>0</v>
      </c>
      <c r="Q51" s="8">
        <f>SUM(J51:P51)</f>
        <v/>
      </c>
      <c r="R51" s="8">
        <f>IF(Q51&lt;300, Q51*1.4, IF(Q51&lt;400, Q51*1.33, Q51*1.25))</f>
        <v/>
      </c>
      <c r="S51" s="9">
        <f>INT(R51/100)*100 + IF(MOD(ROUND(R51,0),100)&lt;25, 0, IF(MOD(ROUND(R51,0),100)&lt;=74, 49, 99))</f>
        <v/>
      </c>
      <c r="T51" s="8">
        <f>IF(S51&lt;300, 0, MIN(99, IF(S51&lt;500, S51*7%, IF(S51&lt;700, S51*12%, S51*15%))))</f>
        <v/>
      </c>
    </row>
    <row r="52">
      <c r="A52" s="2" t="inlineStr">
        <is>
          <t>Suitable for Huawei Honor X80I Mobile Phone Case, Honor 600Lite Micro-Matte Magnetic Protective Cover, All-Inclusive Anti-Fall Cover</t>
        </is>
      </c>
      <c r="B52" s="3" t="inlineStr">
        <is>
          <t>HX80I-PC-GN-M</t>
        </is>
      </c>
      <c r="C52" s="3" t="inlineStr">
        <is>
          <t>Hard PC</t>
        </is>
      </c>
      <c r="D52" s="3" t="inlineStr">
        <is>
          <t>Feitianqing</t>
        </is>
      </c>
      <c r="E52" s="3" t="inlineStr">
        <is>
          <t>Honor x80i</t>
        </is>
      </c>
      <c r="F52" s="3" t="inlineStr">
        <is>
          <t>No</t>
        </is>
      </c>
      <c r="G52" s="3" t="inlineStr">
        <is>
          <t>Link</t>
        </is>
      </c>
      <c r="H52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2" s="2" t="inlineStr">
        <is>
          <t>Honor x80i/Hard PC/sku/HX80I-PC-GN-M.jpg</t>
        </is>
      </c>
      <c r="J52" s="4" t="n">
        <v>478.8</v>
      </c>
      <c r="K52" s="4" t="n">
        <v>10</v>
      </c>
      <c r="L52" s="4" t="n">
        <v>50</v>
      </c>
      <c r="M52" s="4" t="n">
        <v>5</v>
      </c>
      <c r="N52" s="4" t="n">
        <v>11.5</v>
      </c>
      <c r="O52" s="4" t="n">
        <v>20</v>
      </c>
      <c r="P52" s="4" t="n">
        <v>0</v>
      </c>
      <c r="Q52" s="4">
        <f>SUM(J52:P52)</f>
        <v/>
      </c>
      <c r="R52" s="4">
        <f>IF(Q52&lt;300, Q52*1.4, IF(Q52&lt;400, Q52*1.33, Q52*1.25))</f>
        <v/>
      </c>
      <c r="S52" s="5">
        <f>INT(R52/100)*100 + IF(MOD(ROUND(R52,0),100)&lt;25, 0, IF(MOD(ROUND(R52,0),100)&lt;=74, 49, 99))</f>
        <v/>
      </c>
      <c r="T52" s="4">
        <f>IF(S52&lt;300, 0, MIN(99, IF(S52&lt;500, S52*7%, IF(S52&lt;700, S52*12%, S52*15%))))</f>
        <v/>
      </c>
    </row>
    <row r="53">
      <c r="A53" s="6" t="inlineStr">
        <is>
          <t>Suitable for Huawei Honor X80I Mobile Phone Case, Honor 600Lite Micro-Matte Magnetic Protective Cover, All-Inclusive Anti-Fall Cover</t>
        </is>
      </c>
      <c r="B53" s="7" t="inlineStr">
        <is>
          <t>HX80I-PC-GD-M</t>
        </is>
      </c>
      <c r="C53" s="7" t="inlineStr">
        <is>
          <t>Hard PC</t>
        </is>
      </c>
      <c r="D53" s="7" t="inlineStr">
        <is>
          <t>Desert Gold</t>
        </is>
      </c>
      <c r="E53" s="7" t="inlineStr">
        <is>
          <t>Honor x80i</t>
        </is>
      </c>
      <c r="F53" s="7" t="inlineStr">
        <is>
          <t>No</t>
        </is>
      </c>
      <c r="G53" s="7" t="inlineStr">
        <is>
          <t>Link</t>
        </is>
      </c>
      <c r="H53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3" s="6" t="inlineStr">
        <is>
          <t>Honor x80i/Hard PC/sku/HX80I-PC-GD-M.jpg</t>
        </is>
      </c>
      <c r="J53" s="8" t="n">
        <v>478.8</v>
      </c>
      <c r="K53" s="8" t="n">
        <v>10</v>
      </c>
      <c r="L53" s="8" t="n">
        <v>50</v>
      </c>
      <c r="M53" s="8" t="n">
        <v>5</v>
      </c>
      <c r="N53" s="8" t="n">
        <v>11.5</v>
      </c>
      <c r="O53" s="8" t="n">
        <v>20</v>
      </c>
      <c r="P53" s="8" t="n">
        <v>0</v>
      </c>
      <c r="Q53" s="8">
        <f>SUM(J53:P53)</f>
        <v/>
      </c>
      <c r="R53" s="8">
        <f>IF(Q53&lt;300, Q53*1.4, IF(Q53&lt;400, Q53*1.33, Q53*1.25))</f>
        <v/>
      </c>
      <c r="S53" s="9">
        <f>INT(R53/100)*100 + IF(MOD(ROUND(R53,0),100)&lt;25, 0, IF(MOD(ROUND(R53,0),100)&lt;=74, 49, 99))</f>
        <v/>
      </c>
      <c r="T53" s="8">
        <f>IF(S53&lt;300, 0, MIN(99, IF(S53&lt;500, S53*7%, IF(S53&lt;700, S53*12%, S53*15%))))</f>
        <v/>
      </c>
    </row>
    <row r="54">
      <c r="A54" s="2" t="inlineStr">
        <is>
          <t>Suitable for Huawei Honor X80I Mobile Phone Case, Honor 600Lite Micro-Matte Magnetic Protective Cover, All-Inclusive Anti-Fall Cover</t>
        </is>
      </c>
      <c r="B54" s="3" t="inlineStr">
        <is>
          <t>HX80I-PC-BK-M</t>
        </is>
      </c>
      <c r="C54" s="3" t="inlineStr">
        <is>
          <t>Hard PC</t>
        </is>
      </c>
      <c r="D54" s="3" t="inlineStr">
        <is>
          <t>Graphite Black</t>
        </is>
      </c>
      <c r="E54" s="3" t="inlineStr">
        <is>
          <t>Honor x80i</t>
        </is>
      </c>
      <c r="F54" s="3" t="inlineStr">
        <is>
          <t>No</t>
        </is>
      </c>
      <c r="G54" s="3" t="inlineStr">
        <is>
          <t>Link</t>
        </is>
      </c>
      <c r="H54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4" s="2" t="inlineStr">
        <is>
          <t>Honor x80i/Hard PC/sku/HX80I-PC-BK-M.jpg</t>
        </is>
      </c>
      <c r="J54" s="4" t="n">
        <v>478.8</v>
      </c>
      <c r="K54" s="4" t="n">
        <v>10</v>
      </c>
      <c r="L54" s="4" t="n">
        <v>50</v>
      </c>
      <c r="M54" s="4" t="n">
        <v>5</v>
      </c>
      <c r="N54" s="4" t="n">
        <v>11.5</v>
      </c>
      <c r="O54" s="4" t="n">
        <v>20</v>
      </c>
      <c r="P54" s="4" t="n">
        <v>0</v>
      </c>
      <c r="Q54" s="4">
        <f>SUM(J54:P54)</f>
        <v/>
      </c>
      <c r="R54" s="4">
        <f>IF(Q54&lt;300, Q54*1.4, IF(Q54&lt;400, Q54*1.33, Q54*1.25))</f>
        <v/>
      </c>
      <c r="S54" s="5">
        <f>INT(R54/100)*100 + IF(MOD(ROUND(R54,0),100)&lt;25, 0, IF(MOD(ROUND(R54,0),100)&lt;=74, 49, 99))</f>
        <v/>
      </c>
      <c r="T54" s="4">
        <f>IF(S54&lt;300, 0, MIN(99, IF(S54&lt;500, S54*7%, IF(S54&lt;700, S54*12%, S54*15%))))</f>
        <v/>
      </c>
    </row>
    <row r="55">
      <c r="A55" s="6" t="inlineStr">
        <is>
          <t>Suitable for Huawei Honor X80I Mobile Phone Case, Honor 600Lite Micro-Matte Magnetic Protective Cover, All-Inclusive Anti-Fall Cover</t>
        </is>
      </c>
      <c r="B55" s="7" t="inlineStr">
        <is>
          <t>H600L-PC-GY-M</t>
        </is>
      </c>
      <c r="C55" s="7" t="inlineStr">
        <is>
          <t>Hard PC</t>
        </is>
      </c>
      <c r="D55" s="7" t="inlineStr">
        <is>
          <t>Titanium Gray</t>
        </is>
      </c>
      <c r="E55" s="7" t="inlineStr">
        <is>
          <t>Honor 600lite foreign version</t>
        </is>
      </c>
      <c r="F55" s="7" t="inlineStr">
        <is>
          <t>No</t>
        </is>
      </c>
      <c r="G55" s="7" t="inlineStr">
        <is>
          <t>Link</t>
        </is>
      </c>
      <c r="H55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5" s="6" t="inlineStr">
        <is>
          <t>Honor 600lite foreign version/Hard PC/sku/H600L-PC-GY-M.jpg</t>
        </is>
      </c>
      <c r="J55" s="8" t="n">
        <v>478.8</v>
      </c>
      <c r="K55" s="8" t="n">
        <v>10</v>
      </c>
      <c r="L55" s="8" t="n">
        <v>50</v>
      </c>
      <c r="M55" s="8" t="n">
        <v>5</v>
      </c>
      <c r="N55" s="8" t="n">
        <v>11.5</v>
      </c>
      <c r="O55" s="8" t="n">
        <v>20</v>
      </c>
      <c r="P55" s="8" t="n">
        <v>0</v>
      </c>
      <c r="Q55" s="8">
        <f>SUM(J55:P55)</f>
        <v/>
      </c>
      <c r="R55" s="8">
        <f>IF(Q55&lt;300, Q55*1.4, IF(Q55&lt;400, Q55*1.33, Q55*1.25))</f>
        <v/>
      </c>
      <c r="S55" s="9">
        <f>INT(R55/100)*100 + IF(MOD(ROUND(R55,0),100)&lt;25, 0, IF(MOD(ROUND(R55,0),100)&lt;=74, 49, 99))</f>
        <v/>
      </c>
      <c r="T55" s="8">
        <f>IF(S55&lt;300, 0, MIN(99, IF(S55&lt;500, S55*7%, IF(S55&lt;700, S55*12%, S55*15%))))</f>
        <v/>
      </c>
    </row>
    <row r="56">
      <c r="A56" s="2" t="inlineStr">
        <is>
          <t>Suitable for Huawei Honor X80I Mobile Phone Case, Honor 600Lite Micro-Matte Magnetic Protective Cover, All-Inclusive Anti-Fall Cover</t>
        </is>
      </c>
      <c r="B56" s="3" t="inlineStr">
        <is>
          <t>H600L-PC-WT-M</t>
        </is>
      </c>
      <c r="C56" s="3" t="inlineStr">
        <is>
          <t>Hard PC</t>
        </is>
      </c>
      <c r="D56" s="3" t="inlineStr">
        <is>
          <t>Silver White</t>
        </is>
      </c>
      <c r="E56" s="3" t="inlineStr">
        <is>
          <t>Honor 600lite foreign version</t>
        </is>
      </c>
      <c r="F56" s="3" t="inlineStr">
        <is>
          <t>No</t>
        </is>
      </c>
      <c r="G56" s="3" t="inlineStr">
        <is>
          <t>Link</t>
        </is>
      </c>
      <c r="H56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6" s="2" t="inlineStr">
        <is>
          <t>Honor 600lite foreign version/Hard PC/sku/H600L-PC-WT-M.jpg</t>
        </is>
      </c>
      <c r="J56" s="4" t="n">
        <v>478.8</v>
      </c>
      <c r="K56" s="4" t="n">
        <v>10</v>
      </c>
      <c r="L56" s="4" t="n">
        <v>50</v>
      </c>
      <c r="M56" s="4" t="n">
        <v>5</v>
      </c>
      <c r="N56" s="4" t="n">
        <v>11.5</v>
      </c>
      <c r="O56" s="4" t="n">
        <v>20</v>
      </c>
      <c r="P56" s="4" t="n">
        <v>0</v>
      </c>
      <c r="Q56" s="4">
        <f>SUM(J56:P56)</f>
        <v/>
      </c>
      <c r="R56" s="4">
        <f>IF(Q56&lt;300, Q56*1.4, IF(Q56&lt;400, Q56*1.33, Q56*1.25))</f>
        <v/>
      </c>
      <c r="S56" s="5">
        <f>INT(R56/100)*100 + IF(MOD(ROUND(R56,0),100)&lt;25, 0, IF(MOD(ROUND(R56,0),100)&lt;=74, 49, 99))</f>
        <v/>
      </c>
      <c r="T56" s="4">
        <f>IF(S56&lt;300, 0, MIN(99, IF(S56&lt;500, S56*7%, IF(S56&lt;700, S56*12%, S56*15%))))</f>
        <v/>
      </c>
    </row>
    <row r="57">
      <c r="A57" s="6" t="inlineStr">
        <is>
          <t>Suitable for Huawei Honor X80I Mobile Phone Case, Honor 600Lite Micro-Matte Magnetic Protective Cover, All-Inclusive Anti-Fall Cover</t>
        </is>
      </c>
      <c r="B57" s="7" t="inlineStr">
        <is>
          <t>H600L-PC-GN-M</t>
        </is>
      </c>
      <c r="C57" s="7" t="inlineStr">
        <is>
          <t>Hard PC</t>
        </is>
      </c>
      <c r="D57" s="7" t="inlineStr">
        <is>
          <t>Feitianqing</t>
        </is>
      </c>
      <c r="E57" s="7" t="inlineStr">
        <is>
          <t>Honor 600lite foreign version</t>
        </is>
      </c>
      <c r="F57" s="7" t="inlineStr">
        <is>
          <t>No</t>
        </is>
      </c>
      <c r="G57" s="7" t="inlineStr">
        <is>
          <t>Link</t>
        </is>
      </c>
      <c r="H57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7" s="6" t="inlineStr">
        <is>
          <t>Honor 600lite foreign version/Hard PC/sku/H600L-PC-GN-M.jpg</t>
        </is>
      </c>
      <c r="J57" s="8" t="n">
        <v>478.8</v>
      </c>
      <c r="K57" s="8" t="n">
        <v>10</v>
      </c>
      <c r="L57" s="8" t="n">
        <v>50</v>
      </c>
      <c r="M57" s="8" t="n">
        <v>5</v>
      </c>
      <c r="N57" s="8" t="n">
        <v>11.5</v>
      </c>
      <c r="O57" s="8" t="n">
        <v>20</v>
      </c>
      <c r="P57" s="8" t="n">
        <v>0</v>
      </c>
      <c r="Q57" s="8">
        <f>SUM(J57:P57)</f>
        <v/>
      </c>
      <c r="R57" s="8">
        <f>IF(Q57&lt;300, Q57*1.4, IF(Q57&lt;400, Q57*1.33, Q57*1.25))</f>
        <v/>
      </c>
      <c r="S57" s="9">
        <f>INT(R57/100)*100 + IF(MOD(ROUND(R57,0),100)&lt;25, 0, IF(MOD(ROUND(R57,0),100)&lt;=74, 49, 99))</f>
        <v/>
      </c>
      <c r="T57" s="8">
        <f>IF(S57&lt;300, 0, MIN(99, IF(S57&lt;500, S57*7%, IF(S57&lt;700, S57*12%, S57*15%))))</f>
        <v/>
      </c>
    </row>
    <row r="58">
      <c r="A58" s="2" t="inlineStr">
        <is>
          <t>Suitable for Huawei Honor X80I Mobile Phone Case, Honor 600Lite Micro-Matte Magnetic Protective Cover, All-Inclusive Anti-Fall Cover</t>
        </is>
      </c>
      <c r="B58" s="3" t="inlineStr">
        <is>
          <t>H600L-PC-GD-M</t>
        </is>
      </c>
      <c r="C58" s="3" t="inlineStr">
        <is>
          <t>Hard PC</t>
        </is>
      </c>
      <c r="D58" s="3" t="inlineStr">
        <is>
          <t>Desert Gold</t>
        </is>
      </c>
      <c r="E58" s="3" t="inlineStr">
        <is>
          <t>Honor 600lite foreign version</t>
        </is>
      </c>
      <c r="F58" s="3" t="inlineStr">
        <is>
          <t>No</t>
        </is>
      </c>
      <c r="G58" s="3" t="inlineStr">
        <is>
          <t>Link</t>
        </is>
      </c>
      <c r="H58" s="2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8" s="2" t="inlineStr">
        <is>
          <t>Honor 600lite foreign version/Hard PC/sku/H600L-PC-GD-M.jpg</t>
        </is>
      </c>
      <c r="J58" s="4" t="n">
        <v>478.8</v>
      </c>
      <c r="K58" s="4" t="n">
        <v>10</v>
      </c>
      <c r="L58" s="4" t="n">
        <v>50</v>
      </c>
      <c r="M58" s="4" t="n">
        <v>5</v>
      </c>
      <c r="N58" s="4" t="n">
        <v>11.5</v>
      </c>
      <c r="O58" s="4" t="n">
        <v>20</v>
      </c>
      <c r="P58" s="4" t="n">
        <v>0</v>
      </c>
      <c r="Q58" s="4">
        <f>SUM(J58:P58)</f>
        <v/>
      </c>
      <c r="R58" s="4">
        <f>IF(Q58&lt;300, Q58*1.4, IF(Q58&lt;400, Q58*1.33, Q58*1.25))</f>
        <v/>
      </c>
      <c r="S58" s="5">
        <f>INT(R58/100)*100 + IF(MOD(ROUND(R58,0),100)&lt;25, 0, IF(MOD(ROUND(R58,0),100)&lt;=74, 49, 99))</f>
        <v/>
      </c>
      <c r="T58" s="4">
        <f>IF(S58&lt;300, 0, MIN(99, IF(S58&lt;500, S58*7%, IF(S58&lt;700, S58*12%, S58*15%))))</f>
        <v/>
      </c>
    </row>
    <row r="59">
      <c r="A59" s="6" t="inlineStr">
        <is>
          <t>Suitable for Huawei Honor X80I Mobile Phone Case, Honor 600Lite Micro-Matte Magnetic Protective Cover, All-Inclusive Anti-Fall Cover</t>
        </is>
      </c>
      <c r="B59" s="7" t="inlineStr">
        <is>
          <t>H600L-PC-BK-M</t>
        </is>
      </c>
      <c r="C59" s="7" t="inlineStr">
        <is>
          <t>Hard PC</t>
        </is>
      </c>
      <c r="D59" s="7" t="inlineStr">
        <is>
          <t>Graphite Black</t>
        </is>
      </c>
      <c r="E59" s="7" t="inlineStr">
        <is>
          <t>Honor 600lite foreign version</t>
        </is>
      </c>
      <c r="F59" s="7" t="inlineStr">
        <is>
          <t>No</t>
        </is>
      </c>
      <c r="G59" s="7" t="inlineStr">
        <is>
          <t>Link</t>
        </is>
      </c>
      <c r="H59" s="6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9" s="6" t="inlineStr">
        <is>
          <t>Honor 600lite foreign version/Hard PC/sku/H600L-PC-BK-M.jpg</t>
        </is>
      </c>
      <c r="J59" s="8" t="n">
        <v>478.8</v>
      </c>
      <c r="K59" s="8" t="n">
        <v>10</v>
      </c>
      <c r="L59" s="8" t="n">
        <v>50</v>
      </c>
      <c r="M59" s="8" t="n">
        <v>5</v>
      </c>
      <c r="N59" s="8" t="n">
        <v>11.5</v>
      </c>
      <c r="O59" s="8" t="n">
        <v>20</v>
      </c>
      <c r="P59" s="8" t="n">
        <v>0</v>
      </c>
      <c r="Q59" s="8">
        <f>SUM(J59:P59)</f>
        <v/>
      </c>
      <c r="R59" s="8">
        <f>IF(Q59&lt;300, Q59*1.4, IF(Q59&lt;400, Q59*1.33, Q59*1.25))</f>
        <v/>
      </c>
      <c r="S59" s="9">
        <f>INT(R59/100)*100 + IF(MOD(ROUND(R59,0),100)&lt;25, 0, IF(MOD(ROUND(R59,0),100)&lt;=74, 49, 99))</f>
        <v/>
      </c>
      <c r="T59" s="8">
        <f>IF(S59&lt;300, 0, MIN(99, IF(S59&lt;500, S59*7%, IF(S59&lt;700, S59*12%, S59*15%))))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2026-10-18T16:20:06Z</dcterms:created>
  <dcterms:modified xsi:type="dcterms:W3CDTF">2026-10-18T16:20:06Z</dcterms:modified>
</cp:coreProperties>
</file>