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Camera Lens Protection Soft Anti-Drop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Camera Lens Protection Soft Anti-Drop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  <row r="80">
      <c r="A80" s="2" t="inlineStr">
        <is>
          <t>RN8-PC-BK-S</t>
        </is>
      </c>
      <c r="B80" s="3" t="inlineStr">
        <is>
          <t>Corrugated Metallic Paint Hard Case with Metal Buttons for Realme GT Neo 8 – Luxury Shockproof Anti-Drop Protective Back Cover</t>
        </is>
      </c>
      <c r="C80" s="3" t="inlineStr">
        <is>
          <t>Suitable for Oppo Find X9 Ultra corrugated metal paint phone case, Reno 16 metal button case, Realme GT8 hard case</t>
        </is>
      </c>
      <c r="D80" s="2" t="inlineStr">
        <is>
          <t>Hard PC</t>
        </is>
      </c>
      <c r="E80" s="2" t="inlineStr">
        <is>
          <t>Black</t>
        </is>
      </c>
      <c r="F80" s="2" t="inlineStr">
        <is>
          <t>Realme Neo8</t>
        </is>
      </c>
      <c r="G80" s="2" t="inlineStr">
        <is>
          <t>No</t>
        </is>
      </c>
      <c r="H80" s="2" t="inlineStr">
        <is>
          <t>Link</t>
        </is>
      </c>
      <c r="I80" s="3" t="inlineStr">
        <is>
          <t>https://moveon.global/BD_en/products/0000000E102ORKG6-suitable-for-oppo-find-x9-ultra-corrugated-metal-paint-phone-case-reno-16-metal-button-case-realme-gt8-hard-case/1AD8372161823684</t>
        </is>
      </c>
      <c r="J80" s="3" t="inlineStr">
        <is>
          <t>Realme Neo8/Hard PC/sku/RN8-PC-BK-S.jpg</t>
        </is>
      </c>
      <c r="K80" s="4" t="n">
        <v>147.74</v>
      </c>
      <c r="L80" s="4" t="n">
        <v>60</v>
      </c>
      <c r="M80" s="4" t="n">
        <v>62.4</v>
      </c>
      <c r="N80" s="4" t="n">
        <v>5</v>
      </c>
      <c r="O80" s="4" t="n">
        <v>11.5</v>
      </c>
      <c r="P80" s="4" t="n">
        <v>20</v>
      </c>
      <c r="Q80" s="4" t="n">
        <v>0</v>
      </c>
      <c r="R80" s="4">
        <f>SUM(K80:Q80)</f>
        <v/>
      </c>
      <c r="S80" s="4">
        <f>IF(R80&lt;300, R80*1.4, IF(R80&lt;400, R80*1.33, R80*1.25))</f>
        <v/>
      </c>
      <c r="T80" s="5">
        <f>INT(S80/100)*100 + IF(MOD(ROUND(S80,0),100)&lt;25, 0, IF(MOD(ROUND(S80,0),100)&lt;=74, 49, 99))</f>
        <v/>
      </c>
      <c r="U80" s="4">
        <f>IF(T80&lt;300, 0, MIN(99, IF(T80&lt;500, T80*7%, IF(T80&lt;700, T80*12%, T80*15%))))</f>
        <v/>
      </c>
    </row>
    <row r="81">
      <c r="A81" s="6" t="inlineStr">
        <is>
          <t>RN8-PC-SV-S</t>
        </is>
      </c>
      <c r="B81" s="7" t="inlineStr">
        <is>
          <t>Corrugated Metallic Paint Hard Case with Metal Buttons for Realme GT Neo 8 – Luxury Shockproof Anti-Drop Protective Back Cover</t>
        </is>
      </c>
      <c r="C81" s="7" t="inlineStr">
        <is>
          <t>Suitable for Oppo Find X9 Ultra corrugated metal paint phone case, Reno 16 metal button case, Realme GT8 hard case</t>
        </is>
      </c>
      <c r="D81" s="6" t="inlineStr">
        <is>
          <t>Hard PC</t>
        </is>
      </c>
      <c r="E81" s="6" t="inlineStr">
        <is>
          <t>Silver</t>
        </is>
      </c>
      <c r="F81" s="6" t="inlineStr">
        <is>
          <t>Realme Neo8</t>
        </is>
      </c>
      <c r="G81" s="6" t="inlineStr">
        <is>
          <t>No</t>
        </is>
      </c>
      <c r="H81" s="6" t="inlineStr">
        <is>
          <t>Link</t>
        </is>
      </c>
      <c r="I81" s="7" t="inlineStr">
        <is>
          <t>https://moveon.global/BD_en/products/0000000E102ORKG6-suitable-for-oppo-find-x9-ultra-corrugated-metal-paint-phone-case-reno-16-metal-button-case-realme-gt8-hard-case/1AD8372161823684</t>
        </is>
      </c>
      <c r="J81" s="7" t="inlineStr">
        <is>
          <t>Realme Neo8/Hard PC/sku/RN8-PC-SV-S.jpg</t>
        </is>
      </c>
      <c r="K81" s="8" t="n">
        <v>147.74</v>
      </c>
      <c r="L81" s="8" t="n">
        <v>60</v>
      </c>
      <c r="M81" s="8" t="n">
        <v>62.4</v>
      </c>
      <c r="N81" s="8" t="n">
        <v>5</v>
      </c>
      <c r="O81" s="8" t="n">
        <v>11.5</v>
      </c>
      <c r="P81" s="8" t="n">
        <v>20</v>
      </c>
      <c r="Q81" s="8" t="n">
        <v>0</v>
      </c>
      <c r="R81" s="8">
        <f>SUM(K81:Q81)</f>
        <v/>
      </c>
      <c r="S81" s="8">
        <f>IF(R81&lt;300, R81*1.4, IF(R81&lt;400, R81*1.33, R81*1.25))</f>
        <v/>
      </c>
      <c r="T81" s="9">
        <f>INT(S81/100)*100 + IF(MOD(ROUND(S81,0),100)&lt;25, 0, IF(MOD(ROUND(S81,0),100)&lt;=74, 49, 99))</f>
        <v/>
      </c>
      <c r="U81" s="8">
        <f>IF(T81&lt;300, 0, MIN(99, IF(T81&lt;500, T81*7%, IF(T81&lt;700, T81*12%, T81*15%))))</f>
        <v/>
      </c>
    </row>
    <row r="82">
      <c r="A82" s="2" t="inlineStr">
        <is>
          <t>RN8-PC-CL-C</t>
        </is>
      </c>
      <c r="B82" s="3" t="inlineStr">
        <is>
          <t>Corrugated Metallic Paint Hard Case with Metal Buttons for Realme GT Neo 8 – Luxury Shockproof Anti-Drop Protective Back Cover</t>
        </is>
      </c>
      <c r="C82" s="3" t="inlineStr">
        <is>
          <t>Suitable for Oppo Find X9 Ultra corrugated metal paint phone case, Reno 16 metal button case, Realme GT8 hard case</t>
        </is>
      </c>
      <c r="D82" s="2" t="inlineStr">
        <is>
          <t>Hard PC</t>
        </is>
      </c>
      <c r="E82" s="2" t="inlineStr">
        <is>
          <t>Transparent</t>
        </is>
      </c>
      <c r="F82" s="2" t="inlineStr">
        <is>
          <t>Realme Neo8</t>
        </is>
      </c>
      <c r="G82" s="2" t="inlineStr">
        <is>
          <t>No</t>
        </is>
      </c>
      <c r="H82" s="2" t="inlineStr">
        <is>
          <t>Link</t>
        </is>
      </c>
      <c r="I82" s="3" t="inlineStr">
        <is>
          <t>https://moveon.global/BD_en/products/0000000E102ORKG6-suitable-for-oppo-find-x9-ultra-corrugated-metal-paint-phone-case-reno-16-metal-button-case-realme-gt8-hard-case/1AD8372161823684</t>
        </is>
      </c>
      <c r="J82" s="3" t="inlineStr">
        <is>
          <t>Realme Neo8/Hard PC/sku/RN8-PC-CL-C.jpg</t>
        </is>
      </c>
      <c r="K82" s="4" t="n">
        <v>113.64</v>
      </c>
      <c r="L82" s="4" t="n">
        <v>60</v>
      </c>
      <c r="M82" s="4" t="n">
        <v>62.4</v>
      </c>
      <c r="N82" s="4" t="n">
        <v>5</v>
      </c>
      <c r="O82" s="4" t="n">
        <v>11.5</v>
      </c>
      <c r="P82" s="4" t="n">
        <v>20</v>
      </c>
      <c r="Q82" s="4" t="n">
        <v>0</v>
      </c>
      <c r="R82" s="4">
        <f>SUM(K82:Q82)</f>
        <v/>
      </c>
      <c r="S82" s="4">
        <f>IF(R82&lt;300, R82*1.4, IF(R82&lt;400, R82*1.33, R82*1.25))</f>
        <v/>
      </c>
      <c r="T82" s="5">
        <f>INT(S82/100)*100 + IF(MOD(ROUND(S82,0),100)&lt;25, 0, IF(MOD(ROUND(S82,0),100)&lt;=74, 49, 99))</f>
        <v/>
      </c>
      <c r="U82" s="4">
        <f>IF(T82&lt;300, 0, MIN(99, IF(T82&lt;500, T82*7%, IF(T82&lt;700, T82*12%, T82*15%))))</f>
        <v/>
      </c>
    </row>
    <row r="83">
      <c r="A83" s="6" t="inlineStr">
        <is>
          <t>RN8-PC-RD-S</t>
        </is>
      </c>
      <c r="B83" s="7" t="inlineStr">
        <is>
          <t>Corrugated Metallic Paint Hard Case with Metal Buttons for Realme GT Neo 8 – Luxury Shockproof Anti-Drop Protective Back Cover</t>
        </is>
      </c>
      <c r="C83" s="7" t="inlineStr">
        <is>
          <t>Suitable for Oppo Find X9 Ultra corrugated metal paint phone case, Reno 16 metal button case, Realme GT8 hard case</t>
        </is>
      </c>
      <c r="D83" s="6" t="inlineStr">
        <is>
          <t>Hard PC</t>
        </is>
      </c>
      <c r="E83" s="6" t="inlineStr">
        <is>
          <t>Burgundy Red</t>
        </is>
      </c>
      <c r="F83" s="6" t="inlineStr">
        <is>
          <t>Realme Neo8</t>
        </is>
      </c>
      <c r="G83" s="6" t="inlineStr">
        <is>
          <t>No</t>
        </is>
      </c>
      <c r="H83" s="6" t="inlineStr">
        <is>
          <t>Link</t>
        </is>
      </c>
      <c r="I83" s="7" t="inlineStr">
        <is>
          <t>https://moveon.global/BD_en/products/0000000E102ORKG6-suitable-for-oppo-find-x9-ultra-corrugated-metal-paint-phone-case-reno-16-metal-button-case-realme-gt8-hard-case/1AD8372161823684</t>
        </is>
      </c>
      <c r="J83" s="7" t="inlineStr">
        <is>
          <t>Realme Neo8/Hard PC/sku/RN8-PC-RD-S.jpg</t>
        </is>
      </c>
      <c r="K83" s="8" t="n">
        <v>147.74</v>
      </c>
      <c r="L83" s="8" t="n">
        <v>60</v>
      </c>
      <c r="M83" s="8" t="n">
        <v>62.4</v>
      </c>
      <c r="N83" s="8" t="n">
        <v>5</v>
      </c>
      <c r="O83" s="8" t="n">
        <v>11.5</v>
      </c>
      <c r="P83" s="8" t="n">
        <v>20</v>
      </c>
      <c r="Q83" s="8" t="n">
        <v>0</v>
      </c>
      <c r="R83" s="8">
        <f>SUM(K83:Q83)</f>
        <v/>
      </c>
      <c r="S83" s="8">
        <f>IF(R83&lt;300, R83*1.4, IF(R83&lt;400, R83*1.33, R83*1.25))</f>
        <v/>
      </c>
      <c r="T83" s="9">
        <f>INT(S83/100)*100 + IF(MOD(ROUND(S83,0),100)&lt;25, 0, IF(MOD(ROUND(S83,0),100)&lt;=74, 49, 99))</f>
        <v/>
      </c>
      <c r="U83" s="8">
        <f>IF(T83&lt;300, 0, MIN(99, IF(T83&lt;500, T83*7%, IF(T83&lt;700, T83*12%, T83*15%))))</f>
        <v/>
      </c>
    </row>
    <row r="84">
      <c r="A84" s="2" t="inlineStr">
        <is>
          <t>RN8-PC-TB-S</t>
        </is>
      </c>
      <c r="B84" s="3" t="inlineStr">
        <is>
          <t>Corrugated Metallic Paint Hard Case with Metal Buttons for Realme GT Neo 8 – Luxury Shockproof Anti-Drop Protective Back Cover</t>
        </is>
      </c>
      <c r="C84" s="3" t="inlineStr">
        <is>
          <t>Suitable for Oppo Find X9 Ultra corrugated metal paint phone case, Reno 16 metal button case, Realme GT8 hard case</t>
        </is>
      </c>
      <c r="D84" s="2" t="inlineStr">
        <is>
          <t>Hard PC</t>
        </is>
      </c>
      <c r="E84" s="2" t="inlineStr">
        <is>
          <t>Titanium Black</t>
        </is>
      </c>
      <c r="F84" s="2" t="inlineStr">
        <is>
          <t>Realme Neo8</t>
        </is>
      </c>
      <c r="G84" s="2" t="inlineStr">
        <is>
          <t>No</t>
        </is>
      </c>
      <c r="H84" s="2" t="inlineStr">
        <is>
          <t>Link</t>
        </is>
      </c>
      <c r="I84" s="3" t="inlineStr">
        <is>
          <t>https://moveon.global/BD_en/products/0000000E102ORKG6-suitable-for-oppo-find-x9-ultra-corrugated-metal-paint-phone-case-reno-16-metal-button-case-realme-gt8-hard-case/1AD8372161823684</t>
        </is>
      </c>
      <c r="J84" s="3" t="inlineStr">
        <is>
          <t>Realme Neo8/Hard PC/sku/RN8-PC-TB-S.jpg</t>
        </is>
      </c>
      <c r="K84" s="4" t="n">
        <v>147.74</v>
      </c>
      <c r="L84" s="4" t="n">
        <v>60</v>
      </c>
      <c r="M84" s="4" t="n">
        <v>62.4</v>
      </c>
      <c r="N84" s="4" t="n">
        <v>5</v>
      </c>
      <c r="O84" s="4" t="n">
        <v>11.5</v>
      </c>
      <c r="P84" s="4" t="n">
        <v>20</v>
      </c>
      <c r="Q84" s="4" t="n">
        <v>0</v>
      </c>
      <c r="R84" s="4">
        <f>SUM(K84:Q84)</f>
        <v/>
      </c>
      <c r="S84" s="4">
        <f>IF(R84&lt;300, R84*1.4, IF(R84&lt;400, R84*1.33, R84*1.25))</f>
        <v/>
      </c>
      <c r="T84" s="5">
        <f>INT(S84/100)*100 + IF(MOD(ROUND(S84,0),100)&lt;25, 0, IF(MOD(ROUND(S84,0),100)&lt;=74, 49, 99))</f>
        <v/>
      </c>
      <c r="U84" s="4">
        <f>IF(T84&lt;300, 0, MIN(99, IF(T84&lt;500, T84*7%, IF(T84&lt;700, T84*12%, T84*15%))))</f>
        <v/>
      </c>
    </row>
    <row r="85">
      <c r="A85" s="6" t="inlineStr">
        <is>
          <t>RN8-PC-GD-S</t>
        </is>
      </c>
      <c r="B85" s="7" t="inlineStr">
        <is>
          <t>Corrugated Metallic Paint Hard Case with Metal Buttons for Realme GT Neo 8 – Luxury Shockproof Anti-Drop Protective Back Cover</t>
        </is>
      </c>
      <c r="C85" s="7" t="inlineStr">
        <is>
          <t>Suitable for Oppo Find X9 Ultra corrugated metal paint phone case, Reno 16 metal button case, Realme GT8 hard case</t>
        </is>
      </c>
      <c r="D85" s="6" t="inlineStr">
        <is>
          <t>Hard PC</t>
        </is>
      </c>
      <c r="E85" s="6" t="inlineStr">
        <is>
          <t>Golden</t>
        </is>
      </c>
      <c r="F85" s="6" t="inlineStr">
        <is>
          <t>Realme Neo8</t>
        </is>
      </c>
      <c r="G85" s="6" t="inlineStr">
        <is>
          <t>No</t>
        </is>
      </c>
      <c r="H85" s="6" t="inlineStr">
        <is>
          <t>Link</t>
        </is>
      </c>
      <c r="I85" s="7" t="inlineStr">
        <is>
          <t>https://moveon.global/BD_en/products/0000000E102ORKG6-suitable-for-oppo-find-x9-ultra-corrugated-metal-paint-phone-case-reno-16-metal-button-case-realme-gt8-hard-case/1AD8372161823684</t>
        </is>
      </c>
      <c r="J85" s="7" t="inlineStr">
        <is>
          <t>Realme Neo8/Hard PC/sku/RN8-PC-GD-S.jpg</t>
        </is>
      </c>
      <c r="K85" s="8" t="n">
        <v>147.74</v>
      </c>
      <c r="L85" s="8" t="n">
        <v>60</v>
      </c>
      <c r="M85" s="8" t="n">
        <v>62.4</v>
      </c>
      <c r="N85" s="8" t="n">
        <v>5</v>
      </c>
      <c r="O85" s="8" t="n">
        <v>11.5</v>
      </c>
      <c r="P85" s="8" t="n">
        <v>20</v>
      </c>
      <c r="Q85" s="8" t="n">
        <v>0</v>
      </c>
      <c r="R85" s="8">
        <f>SUM(K85:Q85)</f>
        <v/>
      </c>
      <c r="S85" s="8">
        <f>IF(R85&lt;300, R85*1.4, IF(R85&lt;400, R85*1.33, R85*1.25))</f>
        <v/>
      </c>
      <c r="T85" s="9">
        <f>INT(S85/100)*100 + IF(MOD(ROUND(S85,0),100)&lt;25, 0, IF(MOD(ROUND(S85,0),100)&lt;=74, 49, 99))</f>
        <v/>
      </c>
      <c r="U85" s="8">
        <f>IF(T85&lt;300, 0, MIN(99, IF(T85&lt;500, T85*7%, IF(T85&lt;700, T85*12%, T85*15%))))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2026-10-21T17:20:02Z</dcterms:created>
  <dcterms:modified xsi:type="dcterms:W3CDTF">2026-10-21T17:20:02Z</dcterms:modified>
</cp:coreProperties>
</file>