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33" customWidth="1" min="4" max="4"/>
    <col width="37" customWidth="1" min="5" max="5"/>
    <col width="32" customWidth="1" min="6" max="6"/>
    <col width="12" customWidth="1" min="7" max="7"/>
    <col width="14" customWidth="1" min="8" max="8"/>
    <col width="48" customWidth="1" min="9" max="9"/>
    <col width="48" customWidth="1" min="10" max="10"/>
    <col width="16" customWidth="1" min="11" max="11"/>
    <col width="17" customWidth="1" min="12" max="12"/>
    <col width="15" customWidth="1" min="13" max="13"/>
    <col width="14" customWidth="1" min="14" max="14"/>
    <col width="12" customWidth="1" min="15" max="15"/>
    <col width="12" customWidth="1" min="16" max="16"/>
    <col width="12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Product Code</t>
        </is>
      </c>
      <c r="B1" s="1" t="inlineStr">
        <is>
          <t>SEO Title</t>
        </is>
      </c>
      <c r="C1" s="1" t="inlineStr">
        <is>
          <t>Product Name</t>
        </is>
      </c>
      <c r="D1" s="1" t="inlineStr">
        <is>
          <t>Material</t>
        </is>
      </c>
      <c r="E1" s="1" t="inlineStr">
        <is>
          <t>Color</t>
        </is>
      </c>
      <c r="F1" s="1" t="inlineStr">
        <is>
          <t>Phone Model</t>
        </is>
      </c>
      <c r="G1" s="1" t="inlineStr">
        <is>
          <t>Warranty</t>
        </is>
      </c>
      <c r="H1" s="1" t="inlineStr">
        <is>
          <t>source link</t>
        </is>
      </c>
      <c r="I1" s="1" t="inlineStr">
        <is>
          <t>link</t>
        </is>
      </c>
      <c r="J1" s="1" t="inlineStr">
        <is>
          <t>Local Image Path</t>
        </is>
      </c>
      <c r="K1" s="1" t="inlineStr">
        <is>
          <t>product price</t>
        </is>
      </c>
      <c r="L1" s="1" t="inlineStr">
        <is>
          <t>china delivery</t>
        </is>
      </c>
      <c r="M1" s="1" t="inlineStr">
        <is>
          <t>air shipping</t>
        </is>
      </c>
      <c r="N1" s="1" t="inlineStr">
        <is>
          <t>bd delivery</t>
        </is>
      </c>
      <c r="O1" s="1" t="inlineStr">
        <is>
          <t>packaging</t>
        </is>
      </c>
      <c r="P1" s="1" t="inlineStr">
        <is>
          <t>printing</t>
        </is>
      </c>
      <c r="Q1" s="1" t="inlineStr">
        <is>
          <t>other</t>
        </is>
      </c>
      <c r="R1" s="1" t="inlineStr">
        <is>
          <t>landing cost</t>
        </is>
      </c>
      <c r="S1" s="1" t="inlineStr">
        <is>
          <t>margin</t>
        </is>
      </c>
      <c r="T1" s="1" t="inlineStr">
        <is>
          <t>sell price</t>
        </is>
      </c>
      <c r="U1" s="1" t="inlineStr">
        <is>
          <t>max discount</t>
        </is>
      </c>
    </row>
    <row r="2">
      <c r="A2" s="2" t="inlineStr">
        <is>
          <t>T4P-TG-BP-N</t>
        </is>
      </c>
      <c r="B2" s="3" t="inlineStr">
        <is>
          <t>Luxury 9H Tempered Glass Back Cover for RedmiTurbo 4 Pro – Glossy Anti-Scratch Armor Protective Case</t>
        </is>
      </c>
      <c r="C2" s="3" t="inlineStr">
        <is>
          <t>Redmi Turbo 4 Pro Tempered Glass Protective Case – White Glass Shell</t>
        </is>
      </c>
      <c r="D2" s="2" t="inlineStr">
        <is>
          <t>Tempered glass</t>
        </is>
      </c>
      <c r="E2" s="2" t="inlineStr">
        <is>
          <t>Black - printed</t>
        </is>
      </c>
      <c r="F2" s="2" t="inlineStr">
        <is>
          <t>RedmiTurbo 4 Pro</t>
        </is>
      </c>
      <c r="G2" s="2" t="inlineStr">
        <is>
          <t>No</t>
        </is>
      </c>
      <c r="H2" s="2" t="inlineStr">
        <is>
          <t>Link</t>
        </is>
      </c>
      <c r="I2" s="3" t="inlineStr">
        <is>
          <t>https://moveon.global/BD_en/products/0000000TPCI3HYH3-jit-one-piece-dropshippingsuitable-for-xiaomi17-phone-case-independent-station-15spod13t-semi-hosted-civi4/1AD8305263723979</t>
        </is>
      </c>
      <c r="J2" s="3" t="inlineStr"/>
      <c r="K2" s="4" t="n">
        <v>133</v>
      </c>
      <c r="L2" s="4" t="n">
        <v>11.7</v>
      </c>
      <c r="M2" s="4" t="n">
        <v>54.6</v>
      </c>
      <c r="N2" s="4" t="n">
        <v>2.54</v>
      </c>
      <c r="O2" s="4" t="n">
        <v>11.5</v>
      </c>
      <c r="P2" s="4" t="n">
        <v>20</v>
      </c>
      <c r="Q2" s="4" t="n">
        <v>0</v>
      </c>
      <c r="R2" s="4">
        <f>SUM(K2:Q2)</f>
        <v/>
      </c>
      <c r="S2" s="4">
        <f>IF(R2&lt;300, R2*1.4, IF(R2&lt;400, R2*1.33, R2*1.25))</f>
        <v/>
      </c>
      <c r="T2" s="5">
        <f>INT(S2/100)*100 + IF(MOD(ROUND(S2,0),100)&lt;25, 0, IF(MOD(ROUND(S2,0),100)&lt;=74, 49, 99))</f>
        <v/>
      </c>
      <c r="U2" s="4">
        <f>IF(T2&lt;300, 0, MIN(99, IF(T2&lt;500, T2*7%, IF(T2&lt;700, T2*12%, T2*15%))))</f>
        <v/>
      </c>
    </row>
    <row r="3">
      <c r="A3" s="6" t="inlineStr">
        <is>
          <t>18PM-TPUM-CR-N</t>
        </is>
      </c>
      <c r="B3" s="7" t="inlineStr">
        <is>
          <t>Magnetic Clear Shockproof TPU Case with Lens Film for iPhone 18 Pro Max – Full Protection Slim Soft Cover</t>
        </is>
      </c>
      <c r="C3" s="7" t="inlineStr">
        <is>
          <t>iPhone 18 Pro Max Phone Case, Magnetic, Transparent, with Lens Film</t>
        </is>
      </c>
      <c r="D3" s="6" t="inlineStr">
        <is>
          <t>TPU</t>
        </is>
      </c>
      <c r="E3" s="6" t="inlineStr">
        <is>
          <t>Cherry Red Magnetic Style</t>
        </is>
      </c>
      <c r="F3" s="6" t="inlineStr">
        <is>
          <t>iPhone 18 Pro Max</t>
        </is>
      </c>
      <c r="G3" s="6" t="inlineStr">
        <is>
          <t>No</t>
        </is>
      </c>
      <c r="H3" s="6" t="inlineStr">
        <is>
          <t>Link</t>
        </is>
      </c>
      <c r="I3" s="7" t="inlineStr">
        <is>
          <t>https://moveon.global/BD_en/products/0000000P47PA9R8D-suitable-for-iphone-18-pro-max-phone-case-magnetic-transparent-with-apple-17-lens-film-full-coverage-and-a-simple-drop-resistant-design/1AD8373708955104</t>
        </is>
      </c>
      <c r="J3" s="7" t="inlineStr"/>
      <c r="K3" s="8" t="n">
        <v>345.8</v>
      </c>
      <c r="L3" s="8" t="n">
        <v>24.61</v>
      </c>
      <c r="M3" s="8" t="n">
        <v>35.01</v>
      </c>
      <c r="N3" s="8" t="n">
        <v>2.54</v>
      </c>
      <c r="O3" s="8" t="n">
        <v>11.5</v>
      </c>
      <c r="P3" s="8" t="n">
        <v>20</v>
      </c>
      <c r="Q3" s="8" t="n">
        <v>0</v>
      </c>
      <c r="R3" s="8">
        <f>SUM(K3:Q3)</f>
        <v/>
      </c>
      <c r="S3" s="8">
        <f>IF(R3&lt;300, R3*1.4, IF(R3&lt;400, R3*1.33, R3*1.25))</f>
        <v/>
      </c>
      <c r="T3" s="9">
        <f>INT(S3/100)*100 + IF(MOD(ROUND(S3,0),100)&lt;25, 0, IF(MOD(ROUND(S3,0),100)&lt;=74, 49, 99))</f>
        <v/>
      </c>
      <c r="U3" s="8">
        <f>IF(T3&lt;300, 0, MIN(99, IF(T3&lt;500, T3*7%, IF(T3&lt;700, T3*12%, T3*15%))))</f>
        <v/>
      </c>
    </row>
    <row r="4">
      <c r="A4" s="2" t="inlineStr">
        <is>
          <t>18PM-TPUM-SB-N</t>
        </is>
      </c>
      <c r="B4" s="3" t="inlineStr">
        <is>
          <t>Magnetic Clear Shockproof TPU Case with Lens Film for iPhone 18 Pro Max – Full Protection Slim Soft Cover</t>
        </is>
      </c>
      <c r="C4" s="3" t="inlineStr">
        <is>
          <t>iPhone 18 Pro Max Phone Case, Magnetic, Transparent, with Lens Film</t>
        </is>
      </c>
      <c r="D4" s="2" t="inlineStr">
        <is>
          <t>TPU</t>
        </is>
      </c>
      <c r="E4" s="2" t="inlineStr">
        <is>
          <t>Sky Blue Magnetic Style</t>
        </is>
      </c>
      <c r="F4" s="2" t="inlineStr">
        <is>
          <t>iPhone 18 Pro Max</t>
        </is>
      </c>
      <c r="G4" s="2" t="inlineStr">
        <is>
          <t>No</t>
        </is>
      </c>
      <c r="H4" s="2" t="inlineStr">
        <is>
          <t>Link</t>
        </is>
      </c>
      <c r="I4" s="3" t="inlineStr">
        <is>
          <t>https://moveon.global/BD_en/products/0000000P47PA9R8D-suitable-for-iphone-18-pro-max-phone-case-magnetic-transparent-with-apple-17-lens-film-full-coverage-and-a-simple-drop-resistant-design/1AD8373708955104</t>
        </is>
      </c>
      <c r="J4" s="3" t="inlineStr"/>
      <c r="K4" s="4" t="n">
        <v>345.8</v>
      </c>
      <c r="L4" s="4" t="n">
        <v>24.61</v>
      </c>
      <c r="M4" s="4" t="n">
        <v>35.01</v>
      </c>
      <c r="N4" s="4" t="n">
        <v>2.54</v>
      </c>
      <c r="O4" s="4" t="n">
        <v>11.5</v>
      </c>
      <c r="P4" s="4" t="n">
        <v>20</v>
      </c>
      <c r="Q4" s="4" t="n">
        <v>0</v>
      </c>
      <c r="R4" s="4">
        <f>SUM(K4:Q4)</f>
        <v/>
      </c>
      <c r="S4" s="4">
        <f>IF(R4&lt;300, R4*1.4, IF(R4&lt;400, R4*1.33, R4*1.25))</f>
        <v/>
      </c>
      <c r="T4" s="5">
        <f>INT(S4/100)*100 + IF(MOD(ROUND(S4,0),100)&lt;25, 0, IF(MOD(ROUND(S4,0),100)&lt;=74, 49, 99))</f>
        <v/>
      </c>
      <c r="U4" s="4">
        <f>IF(T4&lt;300, 0, MIN(99, IF(T4&lt;500, T4*7%, IF(T4&lt;700, T4*12%, T4*15%))))</f>
        <v/>
      </c>
    </row>
    <row r="5">
      <c r="A5" s="6" t="inlineStr">
        <is>
          <t>T4P-AC-BG-N</t>
        </is>
      </c>
      <c r="B5" s="7" t="inlineStr">
        <is>
          <t>Mecha Armor Shockproof Matte Case for Redmi Turbo 4 Pro – Heavy Duty Acrylic Bumper Back Cover</t>
        </is>
      </c>
      <c r="C5" s="7" t="inlineStr">
        <is>
          <t>Redmi Turbo 4 Pro Mecha style acrylic matte finish case</t>
        </is>
      </c>
      <c r="D5" s="6" t="inlineStr">
        <is>
          <t>Acrylic</t>
        </is>
      </c>
      <c r="E5" s="6" t="inlineStr">
        <is>
          <t>Black -Green</t>
        </is>
      </c>
      <c r="F5" s="6" t="inlineStr">
        <is>
          <t>Redmi Turbo 4 Pro</t>
        </is>
      </c>
      <c r="G5" s="6" t="inlineStr">
        <is>
          <t>No</t>
        </is>
      </c>
      <c r="H5" s="6" t="inlineStr">
        <is>
          <t>Link</t>
        </is>
      </c>
      <c r="I5" s="7" t="inlineStr">
        <is>
          <t>https://moveon.global/BD_en/products/0000000UYR39CZAL-cool-mecha-style-case-suitable-for-redmi-turbo-4-pro-new-mens-mecha-style-turbo-3-phone-case/1AD8366032951156</t>
        </is>
      </c>
      <c r="J5" s="7" t="inlineStr"/>
      <c r="K5" s="8" t="n">
        <v>159.6</v>
      </c>
      <c r="L5" s="8" t="n">
        <v>2.66</v>
      </c>
      <c r="M5" s="8" t="n">
        <v>51.2</v>
      </c>
      <c r="N5" s="8" t="n">
        <v>2.54</v>
      </c>
      <c r="O5" s="8" t="n">
        <v>11.5</v>
      </c>
      <c r="P5" s="8" t="n">
        <v>20</v>
      </c>
      <c r="Q5" s="8" t="n">
        <v>0</v>
      </c>
      <c r="R5" s="8">
        <f>SUM(K5:Q5)</f>
        <v/>
      </c>
      <c r="S5" s="8">
        <f>IF(R5&lt;300, R5*1.4, IF(R5&lt;400, R5*1.33, R5*1.25))</f>
        <v/>
      </c>
      <c r="T5" s="9">
        <f>INT(S5/100)*100 + IF(MOD(ROUND(S5,0),100)&lt;25, 0, IF(MOD(ROUND(S5,0),100)&lt;=74, 49, 99))</f>
        <v/>
      </c>
      <c r="U5" s="8">
        <f>IF(T5&lt;300, 0, MIN(99, IF(T5&lt;500, T5*7%, IF(T5&lt;700, T5*12%, T5*15%))))</f>
        <v/>
      </c>
    </row>
    <row r="6">
      <c r="A6" s="2" t="inlineStr">
        <is>
          <t>T4P-AC-BR-N</t>
        </is>
      </c>
      <c r="B6" s="3" t="inlineStr">
        <is>
          <t>Mecha Armor Shockproof Matte Case for Redmi Turbo 4 Pro – Heavy Duty Acrylic Bumper Back Cover</t>
        </is>
      </c>
      <c r="C6" s="3" t="inlineStr">
        <is>
          <t>Redmi Turbo 4 Pro Mecha style acrylic matte finish case</t>
        </is>
      </c>
      <c r="D6" s="2" t="inlineStr">
        <is>
          <t>Acrylic</t>
        </is>
      </c>
      <c r="E6" s="2" t="inlineStr">
        <is>
          <t>Black -Red</t>
        </is>
      </c>
      <c r="F6" s="2" t="inlineStr">
        <is>
          <t>Redmi Turbo 4 Pro</t>
        </is>
      </c>
      <c r="G6" s="2" t="inlineStr">
        <is>
          <t>No</t>
        </is>
      </c>
      <c r="H6" s="2" t="inlineStr">
        <is>
          <t>Link</t>
        </is>
      </c>
      <c r="I6" s="3" t="inlineStr">
        <is>
          <t>https://moveon.global/BD_en/products/0000000UYR39CZAL-cool-mecha-style-case-suitable-for-redmi-turbo-4-pro-new-mens-mecha-style-turbo-3-phone-case/1AD8366032951156</t>
        </is>
      </c>
      <c r="J6" s="3" t="inlineStr"/>
      <c r="K6" s="4" t="n">
        <v>159.6</v>
      </c>
      <c r="L6" s="4" t="n">
        <v>2.66</v>
      </c>
      <c r="M6" s="4" t="n">
        <v>51.2</v>
      </c>
      <c r="N6" s="4" t="n">
        <v>2.54</v>
      </c>
      <c r="O6" s="4" t="n">
        <v>11.5</v>
      </c>
      <c r="P6" s="4" t="n">
        <v>20</v>
      </c>
      <c r="Q6" s="4" t="n">
        <v>0</v>
      </c>
      <c r="R6" s="4">
        <f>SUM(K6:Q6)</f>
        <v/>
      </c>
      <c r="S6" s="4">
        <f>IF(R6&lt;300, R6*1.4, IF(R6&lt;400, R6*1.33, R6*1.25))</f>
        <v/>
      </c>
      <c r="T6" s="5">
        <f>INT(S6/100)*100 + IF(MOD(ROUND(S6,0),100)&lt;25, 0, IF(MOD(ROUND(S6,0),100)&lt;=74, 49, 99))</f>
        <v/>
      </c>
      <c r="U6" s="4">
        <f>IF(T6&lt;300, 0, MIN(99, IF(T6&lt;500, T6*7%, IF(T6&lt;700, T6*12%, T6*15%))))</f>
        <v/>
      </c>
    </row>
    <row r="7">
      <c r="A7" s="6" t="inlineStr">
        <is>
          <t>T4P-AC-BB-N</t>
        </is>
      </c>
      <c r="B7" s="7" t="inlineStr">
        <is>
          <t>Mecha Armor Shockproof Matte Case for Redmi Turbo 4 Pro – Heavy Duty Acrylic Bumper Back Cover</t>
        </is>
      </c>
      <c r="C7" s="7" t="inlineStr">
        <is>
          <t>Redmi  Turbo4 Pro Mecha style acrylic matte finish case</t>
        </is>
      </c>
      <c r="D7" s="6" t="inlineStr">
        <is>
          <t>Acrylic</t>
        </is>
      </c>
      <c r="E7" s="6" t="inlineStr">
        <is>
          <t>Black -Blue</t>
        </is>
      </c>
      <c r="F7" s="6" t="inlineStr">
        <is>
          <t>Redmi Turbo 4 Pro</t>
        </is>
      </c>
      <c r="G7" s="6" t="inlineStr">
        <is>
          <t>No</t>
        </is>
      </c>
      <c r="H7" s="6" t="inlineStr">
        <is>
          <t>Link</t>
        </is>
      </c>
      <c r="I7" s="7" t="inlineStr">
        <is>
          <t>https://moveon.global/BD_en/products/0000000UYR39CZAL-cool-mecha-style-case-suitable-for-redmi-turbo-4-pro-new-mens-mecha-style-turbo-3-phone-case/1AD8366032951156</t>
        </is>
      </c>
      <c r="J7" s="7" t="inlineStr"/>
      <c r="K7" s="8" t="n">
        <v>159.6</v>
      </c>
      <c r="L7" s="8" t="n">
        <v>2.66</v>
      </c>
      <c r="M7" s="8" t="n">
        <v>51.2</v>
      </c>
      <c r="N7" s="8" t="n">
        <v>2.54</v>
      </c>
      <c r="O7" s="8" t="n">
        <v>11.5</v>
      </c>
      <c r="P7" s="8" t="n">
        <v>20</v>
      </c>
      <c r="Q7" s="8" t="n">
        <v>0</v>
      </c>
      <c r="R7" s="8">
        <f>SUM(K7:Q7)</f>
        <v/>
      </c>
      <c r="S7" s="8">
        <f>IF(R7&lt;300, R7*1.4, IF(R7&lt;400, R7*1.33, R7*1.25))</f>
        <v/>
      </c>
      <c r="T7" s="9">
        <f>INT(S7/100)*100 + IF(MOD(ROUND(S7,0),100)&lt;25, 0, IF(MOD(ROUND(S7,0),100)&lt;=74, 49, 99))</f>
        <v/>
      </c>
      <c r="U7" s="8">
        <f>IF(T7&lt;300, 0, MIN(99, IF(T7&lt;500, T7*7%, IF(T7&lt;700, T7*12%, T7*15%))))</f>
        <v/>
      </c>
    </row>
    <row r="8">
      <c r="A8" s="2" t="inlineStr">
        <is>
          <t>T4-AC-BR-N</t>
        </is>
      </c>
      <c r="B8" s="3" t="inlineStr">
        <is>
          <t>Mecha Armor Shockproof Matte Case for Redmi Turbo 4 – Heavy Duty Acrylic Bumper Back Cover</t>
        </is>
      </c>
      <c r="C8" s="3" t="inlineStr">
        <is>
          <t>Redmi Turbo  4 Mecha style acrylic matte finish case</t>
        </is>
      </c>
      <c r="D8" s="2" t="inlineStr">
        <is>
          <t>Acrylic</t>
        </is>
      </c>
      <c r="E8" s="2" t="inlineStr">
        <is>
          <t>Black -Red</t>
        </is>
      </c>
      <c r="F8" s="2" t="inlineStr">
        <is>
          <t>Redmi Turbo 4</t>
        </is>
      </c>
      <c r="G8" s="2" t="inlineStr">
        <is>
          <t>No</t>
        </is>
      </c>
      <c r="H8" s="2" t="inlineStr">
        <is>
          <t>Link</t>
        </is>
      </c>
      <c r="I8" s="3" t="inlineStr">
        <is>
          <t>https://moveon.global/BD_en/products/0000000UYR39CZAL-cool-mecha-style-case-suitable-for-redmi-turbo-4-pro-new-mens-mecha-style-turbo-3-phone-case/1AD8366032951156</t>
        </is>
      </c>
      <c r="J8" s="3" t="inlineStr"/>
      <c r="K8" s="4" t="n">
        <v>159.6</v>
      </c>
      <c r="L8" s="4" t="n">
        <v>2.66</v>
      </c>
      <c r="M8" s="4" t="n">
        <v>51.2</v>
      </c>
      <c r="N8" s="4" t="n">
        <v>2.54</v>
      </c>
      <c r="O8" s="4" t="n">
        <v>11.5</v>
      </c>
      <c r="P8" s="4" t="n">
        <v>20</v>
      </c>
      <c r="Q8" s="4" t="n">
        <v>0</v>
      </c>
      <c r="R8" s="4">
        <f>SUM(K8:Q8)</f>
        <v/>
      </c>
      <c r="S8" s="4">
        <f>IF(R8&lt;300, R8*1.4, IF(R8&lt;400, R8*1.33, R8*1.25))</f>
        <v/>
      </c>
      <c r="T8" s="5">
        <f>INT(S8/100)*100 + IF(MOD(ROUND(S8,0),100)&lt;25, 0, IF(MOD(ROUND(S8,0),100)&lt;=74, 49, 99))</f>
        <v/>
      </c>
      <c r="U8" s="4">
        <f>IF(T8&lt;300, 0, MIN(99, IF(T8&lt;500, T8*7%, IF(T8&lt;700, T8*12%, T8*15%))))</f>
        <v/>
      </c>
    </row>
    <row r="9">
      <c r="A9" s="6" t="inlineStr">
        <is>
          <t>T4-AC-BB-N</t>
        </is>
      </c>
      <c r="B9" s="7" t="inlineStr">
        <is>
          <t>Mecha Armor Shockproof Matte Case for Redmi Turbo 4 – Heavy Duty Acrylic Bumper Back Cover</t>
        </is>
      </c>
      <c r="C9" s="7" t="inlineStr">
        <is>
          <t>Redmi Turbo 4 Mecha style acrylic matte finish case</t>
        </is>
      </c>
      <c r="D9" s="6" t="inlineStr">
        <is>
          <t>Acrylic</t>
        </is>
      </c>
      <c r="E9" s="6" t="inlineStr">
        <is>
          <t>Black -Blue</t>
        </is>
      </c>
      <c r="F9" s="6" t="inlineStr">
        <is>
          <t>Redmi Turbo 4</t>
        </is>
      </c>
      <c r="G9" s="6" t="inlineStr">
        <is>
          <t>No</t>
        </is>
      </c>
      <c r="H9" s="6" t="inlineStr"/>
      <c r="I9" s="7" t="inlineStr">
        <is>
          <t>https://moveon.global/BD_en/products/0000000UYR39CZAL-cool-mecha-style-case-suitable-for-redmi-turbo-4-pro-new-mens-mecha-style-turbo-3-phone-case/1AD8366032951156</t>
        </is>
      </c>
      <c r="J9" s="7" t="inlineStr"/>
      <c r="K9" s="8" t="n">
        <v>159.6</v>
      </c>
      <c r="L9" s="8" t="n">
        <v>2.66</v>
      </c>
      <c r="M9" s="8" t="n">
        <v>51.2</v>
      </c>
      <c r="N9" s="8" t="n">
        <v>2.54</v>
      </c>
      <c r="O9" s="8" t="n">
        <v>11.5</v>
      </c>
      <c r="P9" s="8" t="n">
        <v>20</v>
      </c>
      <c r="Q9" s="8" t="n">
        <v>0</v>
      </c>
      <c r="R9" s="8">
        <f>SUM(K9:Q9)</f>
        <v/>
      </c>
      <c r="S9" s="8">
        <f>IF(R9&lt;300, R9*1.4, IF(R9&lt;400, R9*1.33, R9*1.25))</f>
        <v/>
      </c>
      <c r="T9" s="9">
        <f>INT(S9/100)*100 + IF(MOD(ROUND(S9,0),100)&lt;25, 0, IF(MOD(ROUND(S9,0),100)&lt;=74, 49, 99))</f>
        <v/>
      </c>
      <c r="U9" s="8">
        <f>IF(T9&lt;300, 0, MIN(99, IF(T9&lt;500, T9*7%, IF(T9&lt;700, T9*12%, T9*15%))))</f>
        <v/>
      </c>
    </row>
    <row r="10">
      <c r="A10" s="2" t="inlineStr">
        <is>
          <t>S26U-SI-BP-N</t>
        </is>
      </c>
      <c r="B10" s="3" t="inlineStr">
        <is>
          <t>3D Spider Style Shockproof Silicone Case for Galaxy S26 Ultra – Printed Anti-Drop Protective Back Cover</t>
        </is>
      </c>
      <c r="C10" s="3" t="inlineStr">
        <is>
          <t>Samsung Galaxy S26 Series Spider Style Silicone Printed Case</t>
        </is>
      </c>
      <c r="D10" s="2" t="inlineStr">
        <is>
          <t>Silicone</t>
        </is>
      </c>
      <c r="E10" s="2" t="inlineStr">
        <is>
          <t>Black - printed</t>
        </is>
      </c>
      <c r="F10" s="2" t="inlineStr">
        <is>
          <t>Galaxy S26 Ultra</t>
        </is>
      </c>
      <c r="G10" s="2" t="inlineStr">
        <is>
          <t>No</t>
        </is>
      </c>
      <c r="H10" s="2" t="inlineStr">
        <is>
          <t>Link</t>
        </is>
      </c>
      <c r="I10" s="3" t="inlineStr">
        <is>
          <t>https://moveon.global/BD_en/products/0000000O0R0QIE2O-jit-one-piece-dropshippinggalaxys25-phone-case-semi-managed-s24-fully-managed-s24fe-aliexpress/1AD8304920318534</t>
        </is>
      </c>
      <c r="J10" s="3" t="inlineStr"/>
      <c r="K10" s="4" t="n">
        <v>106.4</v>
      </c>
      <c r="L10" s="4" t="n">
        <v>9.039999999999999</v>
      </c>
      <c r="M10" s="4" t="n">
        <v>54.6</v>
      </c>
      <c r="N10" s="4" t="n">
        <v>2.54</v>
      </c>
      <c r="O10" s="4" t="n">
        <v>11.5</v>
      </c>
      <c r="P10" s="4" t="n">
        <v>20</v>
      </c>
      <c r="Q10" s="4" t="n">
        <v>0</v>
      </c>
      <c r="R10" s="4">
        <f>SUM(K10:Q10)</f>
        <v/>
      </c>
      <c r="S10" s="4">
        <f>IF(R10&lt;300, R10*1.4, IF(R10&lt;400, R10*1.33, R10*1.25))</f>
        <v/>
      </c>
      <c r="T10" s="5">
        <f>INT(S10/100)*100 + IF(MOD(ROUND(S10,0),100)&lt;25, 0, IF(MOD(ROUND(S10,0),100)&lt;=74, 49, 99))</f>
        <v/>
      </c>
      <c r="U10" s="4">
        <f>IF(T10&lt;300, 0, MIN(99, IF(T10&lt;500, T10*7%, IF(T10&lt;700, T10*12%, T10*15%))))</f>
        <v/>
      </c>
    </row>
    <row r="11">
      <c r="A11" s="6" t="inlineStr">
        <is>
          <t>T4P-TG-WP-N</t>
        </is>
      </c>
      <c r="B11" s="7" t="inlineStr">
        <is>
          <t>Luxury 9H Tempered Glass Back Cover for Redmi Turbo 4 Pro – Glossy Anti-Scratch Armor Protective Case</t>
        </is>
      </c>
      <c r="C11" s="7" t="inlineStr">
        <is>
          <t>RedmiTurbo 4 Pro Tempered Glass Case – White Glass Shell</t>
        </is>
      </c>
      <c r="D11" s="6" t="inlineStr">
        <is>
          <t>Tempered glass</t>
        </is>
      </c>
      <c r="E11" s="6" t="inlineStr">
        <is>
          <t>White Print</t>
        </is>
      </c>
      <c r="F11" s="6" t="inlineStr">
        <is>
          <t>Redmi Turbo 4 Pro</t>
        </is>
      </c>
      <c r="G11" s="6" t="inlineStr">
        <is>
          <t>No</t>
        </is>
      </c>
      <c r="H11" s="6" t="inlineStr">
        <is>
          <t>Link</t>
        </is>
      </c>
      <c r="I11" s="7" t="inlineStr">
        <is>
          <t>https://moveon.global/BD_en/products/0000000HHR0RE2BI-jit-one-piece-dropshippingsuitable-for-xiaomi17-phone-case-aliexpress-f7-mercado-libre-turbo4-foreign-trade/1AD8397614601637</t>
        </is>
      </c>
      <c r="J11" s="7" t="inlineStr"/>
      <c r="K11" s="8" t="n">
        <v>133</v>
      </c>
      <c r="L11" s="8" t="n">
        <v>11.44</v>
      </c>
      <c r="M11" s="8" t="n">
        <v>56</v>
      </c>
      <c r="N11" s="8" t="n">
        <v>2.54</v>
      </c>
      <c r="O11" s="8" t="n">
        <v>11.5</v>
      </c>
      <c r="P11" s="8" t="n">
        <v>20</v>
      </c>
      <c r="Q11" s="8" t="n">
        <v>0</v>
      </c>
      <c r="R11" s="8">
        <f>SUM(K11:Q11)</f>
        <v/>
      </c>
      <c r="S11" s="8">
        <f>IF(R11&lt;300, R11*1.4, IF(R11&lt;400, R11*1.33, R11*1.25))</f>
        <v/>
      </c>
      <c r="T11" s="9">
        <f>INT(S11/100)*100 + IF(MOD(ROUND(S11,0),100)&lt;25, 0, IF(MOD(ROUND(S11,0),100)&lt;=74, 49, 99))</f>
        <v/>
      </c>
      <c r="U11" s="8">
        <f>IF(T11&lt;300, 0, MIN(99, IF(T11&lt;500, T11*7%, IF(T11&lt;700, T11*12%, T11*15%))))</f>
        <v/>
      </c>
    </row>
    <row r="12">
      <c r="A12" s="2" t="inlineStr">
        <is>
          <t>T4P-TG-WP-N</t>
        </is>
      </c>
      <c r="B12" s="3" t="inlineStr">
        <is>
          <t>Luxury 9H Tempered Glass Back Cover for Redmi Turbo 4 Pro – Glossy Anti-Scratch Armor Protective Case</t>
        </is>
      </c>
      <c r="C12" s="3" t="inlineStr">
        <is>
          <t>RedmiTurbo 4 Pro Tempered Glass Case – White Glass Shell</t>
        </is>
      </c>
      <c r="D12" s="2" t="inlineStr">
        <is>
          <t>Tempered glass</t>
        </is>
      </c>
      <c r="E12" s="2" t="inlineStr">
        <is>
          <t>White Print</t>
        </is>
      </c>
      <c r="F12" s="2" t="inlineStr">
        <is>
          <t>Redmi Turbo 4 Pro</t>
        </is>
      </c>
      <c r="G12" s="2" t="inlineStr">
        <is>
          <t>No</t>
        </is>
      </c>
      <c r="H12" s="2" t="inlineStr">
        <is>
          <t>Link</t>
        </is>
      </c>
      <c r="I12" s="3" t="inlineStr">
        <is>
          <t>https://moveon.global/BD_en/products/0000000HHR0RE2BI-jit-one-piece-dropshippingsuitable-for-xiaomi17-phone-case-aliexpress-f7-mercado-libre-turbo4-foreign-trade/1AD8397614601637</t>
        </is>
      </c>
      <c r="J12" s="3" t="inlineStr"/>
      <c r="K12" s="4" t="n">
        <v>133</v>
      </c>
      <c r="L12" s="4" t="n">
        <v>11.44</v>
      </c>
      <c r="M12" s="4" t="n">
        <v>56</v>
      </c>
      <c r="N12" s="4" t="n">
        <v>2.54</v>
      </c>
      <c r="O12" s="4" t="n">
        <v>11.5</v>
      </c>
      <c r="P12" s="4" t="n">
        <v>20</v>
      </c>
      <c r="Q12" s="4" t="n">
        <v>0</v>
      </c>
      <c r="R12" s="4">
        <f>SUM(K12:Q12)</f>
        <v/>
      </c>
      <c r="S12" s="4">
        <f>IF(R12&lt;300, R12*1.4, IF(R12&lt;400, R12*1.33, R12*1.25))</f>
        <v/>
      </c>
      <c r="T12" s="5">
        <f>INT(S12/100)*100 + IF(MOD(ROUND(S12,0),100)&lt;25, 0, IF(MOD(ROUND(S12,0),100)&lt;=74, 49, 99))</f>
        <v/>
      </c>
      <c r="U12" s="4">
        <f>IF(T12&lt;300, 0, MIN(99, IF(T12&lt;500, T12*7%, IF(T12&lt;700, T12*12%, T12*15%))))</f>
        <v/>
      </c>
    </row>
    <row r="13">
      <c r="A13" s="6" t="inlineStr">
        <is>
          <t>T4P-TG-WP-N</t>
        </is>
      </c>
      <c r="B13" s="7" t="inlineStr">
        <is>
          <t>Luxury 9H Tempered Glass Back Cover for Redmi Turbo 4 Pro – Glossy Anti-Scratch Armor Protective Case</t>
        </is>
      </c>
      <c r="C13" s="7" t="inlineStr">
        <is>
          <t>Redmi Turbo 4 Pro Tempered Glass Case – White Glass Shell</t>
        </is>
      </c>
      <c r="D13" s="6" t="inlineStr">
        <is>
          <t>Tempered glass</t>
        </is>
      </c>
      <c r="E13" s="6" t="inlineStr">
        <is>
          <t>White Print</t>
        </is>
      </c>
      <c r="F13" s="6" t="inlineStr">
        <is>
          <t>Redmi Turbo 4 Pro</t>
        </is>
      </c>
      <c r="G13" s="6" t="inlineStr">
        <is>
          <t>No</t>
        </is>
      </c>
      <c r="H13" s="6" t="inlineStr">
        <is>
          <t>Link</t>
        </is>
      </c>
      <c r="I13" s="7" t="inlineStr">
        <is>
          <t>https://moveon.global/BD_en/products/0000000HHR0RE2BI-jit-one-piece-dropshippingsuitable-for-xiaomi17-phone-case-aliexpress-f7-mercado-libre-turbo4-foreign-trade/1AD8397614601637</t>
        </is>
      </c>
      <c r="J13" s="7" t="inlineStr"/>
      <c r="K13" s="8" t="n">
        <v>133</v>
      </c>
      <c r="L13" s="8" t="n">
        <v>11.44</v>
      </c>
      <c r="M13" s="8" t="n">
        <v>56</v>
      </c>
      <c r="N13" s="8" t="n">
        <v>2.54</v>
      </c>
      <c r="O13" s="8" t="n">
        <v>11.5</v>
      </c>
      <c r="P13" s="8" t="n">
        <v>20</v>
      </c>
      <c r="Q13" s="8" t="n">
        <v>0</v>
      </c>
      <c r="R13" s="8">
        <f>SUM(K13:Q13)</f>
        <v/>
      </c>
      <c r="S13" s="8">
        <f>IF(R13&lt;300, R13*1.4, IF(R13&lt;400, R13*1.33, R13*1.25))</f>
        <v/>
      </c>
      <c r="T13" s="9">
        <f>INT(S13/100)*100 + IF(MOD(ROUND(S13,0),100)&lt;25, 0, IF(MOD(ROUND(S13,0),100)&lt;=74, 49, 99))</f>
        <v/>
      </c>
      <c r="U13" s="8">
        <f>IF(T13&lt;300, 0, MIN(99, IF(T13&lt;500, T13*7%, IF(T13&lt;700, T13*12%, T13*15%))))</f>
        <v/>
      </c>
    </row>
    <row r="14">
      <c r="A14" s="2" t="inlineStr">
        <is>
          <t>T4P-TG-WP-N</t>
        </is>
      </c>
      <c r="B14" s="3" t="inlineStr">
        <is>
          <t>Luxury 9H Tempered Glass Back Cover for Redmi Turbo 4 Pro – Glossy Anti-Scratch Armor Protective Case</t>
        </is>
      </c>
      <c r="C14" s="3" t="inlineStr">
        <is>
          <t>Redmi Turbo 4 Pro Tempered Glass Case – White Glass Shell</t>
        </is>
      </c>
      <c r="D14" s="2" t="inlineStr">
        <is>
          <t>Tempered glass</t>
        </is>
      </c>
      <c r="E14" s="2" t="inlineStr">
        <is>
          <t>White Print</t>
        </is>
      </c>
      <c r="F14" s="2" t="inlineStr">
        <is>
          <t>Redmi Turbo 4 Pro</t>
        </is>
      </c>
      <c r="G14" s="2" t="inlineStr">
        <is>
          <t>No</t>
        </is>
      </c>
      <c r="H14" s="2" t="inlineStr">
        <is>
          <t>Link</t>
        </is>
      </c>
      <c r="I14" s="3" t="inlineStr">
        <is>
          <t>https://moveon.global/BD_en/products/0000000HHR0RE2BI-jit-one-piece-dropshippingsuitable-for-xiaomi17-phone-case-aliexpress-f7-mercado-libre-turbo4-foreign-trade/1AD8397614601637</t>
        </is>
      </c>
      <c r="J14" s="3" t="inlineStr"/>
      <c r="K14" s="4" t="n">
        <v>133</v>
      </c>
      <c r="L14" s="4" t="n">
        <v>11.44</v>
      </c>
      <c r="M14" s="4" t="n">
        <v>56</v>
      </c>
      <c r="N14" s="4" t="n">
        <v>2.54</v>
      </c>
      <c r="O14" s="4" t="n">
        <v>11.5</v>
      </c>
      <c r="P14" s="4" t="n">
        <v>20</v>
      </c>
      <c r="Q14" s="4" t="n">
        <v>0</v>
      </c>
      <c r="R14" s="4">
        <f>SUM(K14:Q14)</f>
        <v/>
      </c>
      <c r="S14" s="4">
        <f>IF(R14&lt;300, R14*1.4, IF(R14&lt;400, R14*1.33, R14*1.25))</f>
        <v/>
      </c>
      <c r="T14" s="5">
        <f>INT(S14/100)*100 + IF(MOD(ROUND(S14,0),100)&lt;25, 0, IF(MOD(ROUND(S14,0),100)&lt;=74, 49, 99))</f>
        <v/>
      </c>
      <c r="U14" s="4">
        <f>IF(T14&lt;300, 0, MIN(99, IF(T14&lt;500, T14*7%, IF(T14&lt;700, T14*12%, T14*15%))))</f>
        <v/>
      </c>
    </row>
    <row r="15">
      <c r="A15" s="6" t="inlineStr">
        <is>
          <t>H600-SKn-G-N</t>
        </is>
      </c>
      <c r="B15" s="7" t="inlineStr">
        <is>
          <t>Ultra-Thin Matte Skin Protective Case for Honor 600 – Lightweight Anti-Fingerprint Back Cover</t>
        </is>
      </c>
      <c r="C15" s="7" t="inlineStr">
        <is>
          <t>Honor 600 Skin Protective Case</t>
        </is>
      </c>
      <c r="D15" s="6" t="inlineStr">
        <is>
          <t>Skin</t>
        </is>
      </c>
      <c r="E15" s="6" t="inlineStr">
        <is>
          <t>Grey</t>
        </is>
      </c>
      <c r="F15" s="6" t="inlineStr">
        <is>
          <t>Honor 600</t>
        </is>
      </c>
      <c r="G15" s="6" t="inlineStr">
        <is>
          <t>No</t>
        </is>
      </c>
      <c r="H15" s="6" t="inlineStr">
        <is>
          <t>Link</t>
        </is>
      </c>
      <c r="I15" s="7" t="inlineStr">
        <is>
          <t>https://moveon.global/BD_en/products/000000074X6RUVK3-suitable-for-honor-600-phone-case-honor-600-pro-international-version-carbon-fiber-pattern-leather-protective-cover-back-shell-type/1AD8348014988676</t>
        </is>
      </c>
      <c r="J15" s="7" t="inlineStr"/>
      <c r="K15" s="8" t="n">
        <v>146.3</v>
      </c>
      <c r="L15" s="8" t="n">
        <v>79.8</v>
      </c>
      <c r="M15" s="8" t="n">
        <v>87.5</v>
      </c>
      <c r="N15" s="8" t="n">
        <v>5.09</v>
      </c>
      <c r="O15" s="8" t="n">
        <v>11.5</v>
      </c>
      <c r="P15" s="8" t="n">
        <v>20</v>
      </c>
      <c r="Q15" s="8" t="n">
        <v>0</v>
      </c>
      <c r="R15" s="8">
        <f>SUM(K15:Q15)</f>
        <v/>
      </c>
      <c r="S15" s="8">
        <f>IF(R15&lt;300, R15*1.4, IF(R15&lt;400, R15*1.33, R15*1.25))</f>
        <v/>
      </c>
      <c r="T15" s="9">
        <f>INT(S15/100)*100 + IF(MOD(ROUND(S15,0),100)&lt;25, 0, IF(MOD(ROUND(S15,0),100)&lt;=74, 49, 99))</f>
        <v/>
      </c>
      <c r="U15" s="8">
        <f>IF(T15&lt;300, 0, MIN(99, IF(T15&lt;500, T15*7%, IF(T15&lt;700, T15*12%, T15*15%))))</f>
        <v/>
      </c>
    </row>
    <row r="16">
      <c r="A16" s="2" t="inlineStr">
        <is>
          <t>H600P-SKn-G-N</t>
        </is>
      </c>
      <c r="B16" s="3" t="inlineStr">
        <is>
          <t>Ultra-Thin Matte Skin Protective Case for Honor 600 Pro – Lightweight Anti-Fingerprint Back Cover</t>
        </is>
      </c>
      <c r="C16" s="3" t="inlineStr">
        <is>
          <t>Honor 600 Pro Skin Protective Case</t>
        </is>
      </c>
      <c r="D16" s="2" t="inlineStr">
        <is>
          <t>Skin</t>
        </is>
      </c>
      <c r="E16" s="2" t="inlineStr">
        <is>
          <t>Grey</t>
        </is>
      </c>
      <c r="F16" s="2" t="inlineStr">
        <is>
          <t>Honor 600 Pro</t>
        </is>
      </c>
      <c r="G16" s="2" t="inlineStr">
        <is>
          <t>No</t>
        </is>
      </c>
      <c r="H16" s="2" t="inlineStr">
        <is>
          <t>Link</t>
        </is>
      </c>
      <c r="I16" s="3" t="inlineStr">
        <is>
          <t>https://moveon.global/BD_en/products/000000074X6RUVK3-suitable-for-honor-600-phone-case-honor-600-pro-international-version-carbon-fiber-pattern-leather-protective-cover-back-shell-type/1AD8348014988676</t>
        </is>
      </c>
      <c r="J16" s="3" t="inlineStr"/>
      <c r="K16" s="4" t="n">
        <v>146.3</v>
      </c>
      <c r="L16" s="4" t="n">
        <v>79.8</v>
      </c>
      <c r="M16" s="4" t="n">
        <v>87.5</v>
      </c>
      <c r="N16" s="4" t="n">
        <v>5.09</v>
      </c>
      <c r="O16" s="4" t="n">
        <v>11.5</v>
      </c>
      <c r="P16" s="4" t="n">
        <v>20</v>
      </c>
      <c r="Q16" s="4" t="n">
        <v>0</v>
      </c>
      <c r="R16" s="4">
        <f>SUM(K16:Q16)</f>
        <v/>
      </c>
      <c r="S16" s="4">
        <f>IF(R16&lt;300, R16*1.4, IF(R16&lt;400, R16*1.33, R16*1.25))</f>
        <v/>
      </c>
      <c r="T16" s="5">
        <f>INT(S16/100)*100 + IF(MOD(ROUND(S16,0),100)&lt;25, 0, IF(MOD(ROUND(S16,0),100)&lt;=74, 49, 99))</f>
        <v/>
      </c>
      <c r="U16" s="4">
        <f>IF(T16&lt;300, 0, MIN(99, IF(T16&lt;500, T16*7%, IF(T16&lt;700, T16*12%, T16*15%))))</f>
        <v/>
      </c>
    </row>
    <row r="17">
      <c r="A17" s="6" t="inlineStr">
        <is>
          <t>S26U-PW-B-N</t>
        </is>
      </c>
      <c r="B17" s="7" t="inlineStr">
        <is>
          <t>Luxury Wood Grain Magnetic Case for Samsung Galaxy S26 Ultra – Slim Shockproof Hard Back Cover</t>
        </is>
      </c>
      <c r="C17" s="7" t="inlineStr">
        <is>
          <t>Samsung Galaxy S26 Ultra Wood Grain Magnetic Case</t>
        </is>
      </c>
      <c r="D17" s="6" t="inlineStr">
        <is>
          <t>PCs</t>
        </is>
      </c>
      <c r="E17" s="6" t="inlineStr">
        <is>
          <t>Poplar Wood Grain</t>
        </is>
      </c>
      <c r="F17" s="6" t="inlineStr">
        <is>
          <t>Samsung Galaxy S26 Ultra</t>
        </is>
      </c>
      <c r="G17" s="6" t="inlineStr">
        <is>
          <t>No</t>
        </is>
      </c>
      <c r="H17" s="6" t="inlineStr">
        <is>
          <t>Link</t>
        </is>
      </c>
      <c r="I17" s="7" t="inlineStr">
        <is>
          <t>https://moveon.global/BD_en/products/0000000BB811A2TJ-foreign-trade-cross-border-applicable-samsung-s26ultra-mobile-phone-case-frameless-wood-grain-magnetic-suction-s25u-anti-fall-24-protective-case/1AC6839645384080</t>
        </is>
      </c>
      <c r="J17" s="7" t="inlineStr"/>
      <c r="K17" s="8" t="n">
        <v>252.7</v>
      </c>
      <c r="L17" s="8" t="n">
        <v>18.09</v>
      </c>
      <c r="M17" s="8" t="n">
        <v>35</v>
      </c>
      <c r="N17" s="8" t="n">
        <v>2.54</v>
      </c>
      <c r="O17" s="8" t="n">
        <v>11.5</v>
      </c>
      <c r="P17" s="8" t="n">
        <v>20</v>
      </c>
      <c r="Q17" s="8" t="n">
        <v>0</v>
      </c>
      <c r="R17" s="8">
        <f>SUM(K17:Q17)</f>
        <v/>
      </c>
      <c r="S17" s="8">
        <f>IF(R17&lt;300, R17*1.4, IF(R17&lt;400, R17*1.33, R17*1.25))</f>
        <v/>
      </c>
      <c r="T17" s="9">
        <f>INT(S17/100)*100 + IF(MOD(ROUND(S17,0),100)&lt;25, 0, IF(MOD(ROUND(S17,0),100)&lt;=74, 49, 99))</f>
        <v/>
      </c>
      <c r="U17" s="8">
        <f>IF(T17&lt;300, 0, MIN(99, IF(T17&lt;500, T17*7%, IF(T17&lt;700, T17*12%, T17*15%))))</f>
        <v/>
      </c>
    </row>
    <row r="18">
      <c r="A18" s="2" t="inlineStr">
        <is>
          <t>S26U-PW-B-N</t>
        </is>
      </c>
      <c r="B18" s="3" t="inlineStr">
        <is>
          <t>Luxury Wood Grain Magnetic Case for Samsung Galaxy S26 Ultra – Slim Shockproof Hard Back Cover</t>
        </is>
      </c>
      <c r="C18" s="3" t="inlineStr">
        <is>
          <t>Samsung Galaxy S26 Ultra Wood Grain Magnetic Case</t>
        </is>
      </c>
      <c r="D18" s="2" t="inlineStr">
        <is>
          <t>PCs</t>
        </is>
      </c>
      <c r="E18" s="2" t="inlineStr">
        <is>
          <t>Dark Gray Wood Grain</t>
        </is>
      </c>
      <c r="F18" s="2" t="inlineStr">
        <is>
          <t>Samsung Galaxy S26 Ultra</t>
        </is>
      </c>
      <c r="G18" s="2" t="inlineStr">
        <is>
          <t>No</t>
        </is>
      </c>
      <c r="H18" s="2" t="inlineStr">
        <is>
          <t>Link</t>
        </is>
      </c>
      <c r="I18" s="3" t="inlineStr">
        <is>
          <t>https://moveon.global/BD_en/products/0000000BB811A2TJ-foreign-trade-cross-border-applicable-samsung-s26ultra-mobile-phone-case-frameless-wood-grain-magnetic-suction-s25u-anti-fall-24-protective-case/1AC6839645384080</t>
        </is>
      </c>
      <c r="J18" s="3" t="inlineStr"/>
      <c r="K18" s="4" t="n">
        <v>252.7</v>
      </c>
      <c r="L18" s="4" t="n">
        <v>18.09</v>
      </c>
      <c r="M18" s="4" t="n">
        <v>35</v>
      </c>
      <c r="N18" s="4" t="n">
        <v>2.54</v>
      </c>
      <c r="O18" s="4" t="n">
        <v>11.5</v>
      </c>
      <c r="P18" s="4" t="n">
        <v>20</v>
      </c>
      <c r="Q18" s="4" t="n">
        <v>0</v>
      </c>
      <c r="R18" s="4">
        <f>SUM(K18:Q18)</f>
        <v/>
      </c>
      <c r="S18" s="4">
        <f>IF(R18&lt;300, R18*1.4, IF(R18&lt;400, R18*1.33, R18*1.25))</f>
        <v/>
      </c>
      <c r="T18" s="5">
        <f>INT(S18/100)*100 + IF(MOD(ROUND(S18,0),100)&lt;25, 0, IF(MOD(ROUND(S18,0),100)&lt;=74, 49, 99))</f>
        <v/>
      </c>
      <c r="U18" s="4">
        <f>IF(T18&lt;300, 0, MIN(99, IF(T18&lt;500, T18*7%, IF(T18&lt;700, T18*12%, T18*15%))))</f>
        <v/>
      </c>
    </row>
    <row r="19">
      <c r="A19" s="6" t="inlineStr">
        <is>
          <t>S26U-MI-B-N</t>
        </is>
      </c>
      <c r="B19" s="7" t="inlineStr">
        <is>
          <t>Magnetic Invisible Stand Armor Case for Samsung Galaxy S26 Ultra – Heavy Duty Metal Lens Frame Hybrid Back Cover</t>
        </is>
      </c>
      <c r="C19" s="7" t="inlineStr">
        <is>
          <t>Samsung Galaxy S26 Ultra Magnetic Invisible Bracket</t>
        </is>
      </c>
      <c r="D19" s="6" t="inlineStr">
        <is>
          <t>Metal lens frame Acrylic / TPU</t>
        </is>
      </c>
      <c r="E19" s="6" t="inlineStr">
        <is>
          <t>Black – Magnetic Invisible Bracket</t>
        </is>
      </c>
      <c r="F19" s="6" t="inlineStr">
        <is>
          <t>Samsung Galaxy S26 Ultra</t>
        </is>
      </c>
      <c r="G19" s="6" t="inlineStr">
        <is>
          <t>No</t>
        </is>
      </c>
      <c r="H19" s="6" t="inlineStr">
        <is>
          <t>Link</t>
        </is>
      </c>
      <c r="I19" s="7" t="inlineStr">
        <is>
          <t>https://moveon.global/BD_en/products/0000000PWJ01ZSK1-metal-invisible-lens-bracket-suitable-for-samsung-s26ultra-magnetic-phone-case-s25fe-transparent-s24plus-case/1AC5307428543960</t>
        </is>
      </c>
      <c r="J19" s="7" t="inlineStr"/>
      <c r="K19" s="8" t="n">
        <v>265.74</v>
      </c>
      <c r="L19" s="8" t="n">
        <v>50.2</v>
      </c>
      <c r="M19" s="8" t="n">
        <v>80</v>
      </c>
      <c r="N19" s="8" t="n">
        <v>5.09</v>
      </c>
      <c r="O19" s="8" t="n">
        <v>11.5</v>
      </c>
      <c r="P19" s="8" t="n">
        <v>20</v>
      </c>
      <c r="Q19" s="8" t="n">
        <v>0</v>
      </c>
      <c r="R19" s="8">
        <f>SUM(K19:Q19)</f>
        <v/>
      </c>
      <c r="S19" s="8">
        <f>IF(R19&lt;300, R19*1.4, IF(R19&lt;400, R19*1.33, R19*1.25))</f>
        <v/>
      </c>
      <c r="T19" s="9">
        <f>INT(S19/100)*100 + IF(MOD(ROUND(S19,0),100)&lt;25, 0, IF(MOD(ROUND(S19,0),100)&lt;=74, 49, 99))</f>
        <v/>
      </c>
      <c r="U19" s="8">
        <f>IF(T19&lt;300, 0, MIN(99, IF(T19&lt;500, T19*7%, IF(T19&lt;700, T19*12%, T19*15%))))</f>
        <v/>
      </c>
    </row>
    <row r="20">
      <c r="A20" s="2" t="inlineStr">
        <is>
          <t>18P-AC-M-R-N</t>
        </is>
      </c>
      <c r="B20" s="3" t="inlineStr">
        <is>
          <t>Luxury Magnetic Clear Acrylic Case for iPhone 18 Pro – Anti-Yellow Shockproof Hard Hybrid Back Cover</t>
        </is>
      </c>
      <c r="C20" s="3" t="inlineStr">
        <is>
          <t>iPhone 18 Pro Magnetic Acrylic Case</t>
        </is>
      </c>
      <c r="D20" s="2" t="inlineStr">
        <is>
          <t>Acrylic</t>
        </is>
      </c>
      <c r="E20" s="2" t="inlineStr">
        <is>
          <t>Wine Red</t>
        </is>
      </c>
      <c r="F20" s="2" t="inlineStr">
        <is>
          <t>iPhone 18 Pro</t>
        </is>
      </c>
      <c r="G20" s="2" t="inlineStr">
        <is>
          <t>No</t>
        </is>
      </c>
      <c r="H20" s="2" t="inlineStr">
        <is>
          <t>Link</t>
        </is>
      </c>
      <c r="I20" s="3" t="inlineStr">
        <is>
          <t>https://moveon.global/BD_en/products/0000000XI6T00NZT-suitable-for-apple-18promax-phone-case-magnetic-transparent-iphone17-acrylic-silicone-solid-color-skin-feel-frame/1AD8357853016175</t>
        </is>
      </c>
      <c r="J20" s="3" t="inlineStr"/>
      <c r="K20" s="4" t="n">
        <v>87.25</v>
      </c>
      <c r="L20" s="4" t="n">
        <v>16.55</v>
      </c>
      <c r="M20" s="4" t="n">
        <v>81.59999999999999</v>
      </c>
      <c r="N20" s="4" t="n">
        <v>5.09</v>
      </c>
      <c r="O20" s="4" t="n">
        <v>11.5</v>
      </c>
      <c r="P20" s="4" t="n">
        <v>20</v>
      </c>
      <c r="Q20" s="4" t="n">
        <v>0</v>
      </c>
      <c r="R20" s="4">
        <f>SUM(K20:Q20)</f>
        <v/>
      </c>
      <c r="S20" s="4">
        <f>IF(R20&lt;300, R20*1.4, IF(R20&lt;400, R20*1.33, R20*1.25))</f>
        <v/>
      </c>
      <c r="T20" s="5">
        <f>INT(S20/100)*100 + IF(MOD(ROUND(S20,0),100)&lt;25, 0, IF(MOD(ROUND(S20,0),100)&lt;=74, 49, 99))</f>
        <v/>
      </c>
      <c r="U20" s="4">
        <f>IF(T20&lt;300, 0, MIN(99, IF(T20&lt;500, T20*7%, IF(T20&lt;700, T20*12%, T20*15%))))</f>
        <v/>
      </c>
    </row>
    <row r="21">
      <c r="A21" s="6" t="inlineStr">
        <is>
          <t>18PM-AC-M-R-N</t>
        </is>
      </c>
      <c r="B21" s="7" t="inlineStr">
        <is>
          <t>Luxury Magnetic Clear Acrylic Case for iPhone 18 Pro Max – Anti-Yellow Shockproof Hard Hybrid Back Cover</t>
        </is>
      </c>
      <c r="C21" s="7" t="inlineStr">
        <is>
          <t>iPhone 18  Pro Max Magnetic Acrylic Case</t>
        </is>
      </c>
      <c r="D21" s="6" t="inlineStr">
        <is>
          <t>Acrylic</t>
        </is>
      </c>
      <c r="E21" s="6" t="inlineStr">
        <is>
          <t>Wine Red</t>
        </is>
      </c>
      <c r="F21" s="6" t="inlineStr">
        <is>
          <t>iPhone 18 Pro Max</t>
        </is>
      </c>
      <c r="G21" s="6" t="inlineStr">
        <is>
          <t>No</t>
        </is>
      </c>
      <c r="H21" s="6" t="inlineStr">
        <is>
          <t>Link</t>
        </is>
      </c>
      <c r="I21" s="7" t="inlineStr">
        <is>
          <t>https://moveon.global/BD_en/products/0000000XI6T00NZT-suitable-for-apple-18promax-phone-case-magnetic-transparent-iphone17-acrylic-silicone-solid-color-skin-feel-frame/1AD8357853016175</t>
        </is>
      </c>
      <c r="J21" s="7" t="inlineStr"/>
      <c r="K21" s="8" t="n">
        <v>87.25</v>
      </c>
      <c r="L21" s="8" t="n">
        <v>16.55</v>
      </c>
      <c r="M21" s="8" t="n">
        <v>81.59999999999999</v>
      </c>
      <c r="N21" s="8" t="n">
        <v>5.09</v>
      </c>
      <c r="O21" s="8" t="n">
        <v>11.5</v>
      </c>
      <c r="P21" s="8" t="n">
        <v>20</v>
      </c>
      <c r="Q21" s="8" t="n">
        <v>0</v>
      </c>
      <c r="R21" s="8">
        <f>SUM(K21:Q21)</f>
        <v/>
      </c>
      <c r="S21" s="8">
        <f>IF(R21&lt;300, R21*1.4, IF(R21&lt;400, R21*1.33, R21*1.25))</f>
        <v/>
      </c>
      <c r="T21" s="9">
        <f>INT(S21/100)*100 + IF(MOD(ROUND(S21,0),100)&lt;25, 0, IF(MOD(ROUND(S21,0),100)&lt;=74, 49, 99))</f>
        <v/>
      </c>
      <c r="U21" s="8">
        <f>IF(T21&lt;300, 0, MIN(99, IF(T21&lt;500, T21*7%, IF(T21&lt;700, T21*12%, T21*15%))))</f>
        <v/>
      </c>
    </row>
    <row r="22">
      <c r="A22" s="2" t="inlineStr">
        <is>
          <t>18PM-AC-M-B-N</t>
        </is>
      </c>
      <c r="B22" s="3" t="inlineStr">
        <is>
          <t>Luxury Magnetic Clear Acrylic Case for iPhone 18 Pro – Anti-Yellow Shockproof Hard Hybrid Back Cover</t>
        </is>
      </c>
      <c r="C22" s="3" t="inlineStr">
        <is>
          <t>iPhone 18  Pro  Magnetic Acrylic Case</t>
        </is>
      </c>
      <c r="D22" s="2" t="inlineStr">
        <is>
          <t>Acrylic</t>
        </is>
      </c>
      <c r="E22" s="2" t="inlineStr">
        <is>
          <t>Black</t>
        </is>
      </c>
      <c r="F22" s="2" t="inlineStr">
        <is>
          <t>iPhone 18 Pro</t>
        </is>
      </c>
      <c r="G22" s="2" t="inlineStr">
        <is>
          <t>No</t>
        </is>
      </c>
      <c r="H22" s="2" t="inlineStr">
        <is>
          <t>Link</t>
        </is>
      </c>
      <c r="I22" s="3" t="inlineStr">
        <is>
          <t>https://moveon.global/BD_en/products/0000000XI6T00NZT-suitable-for-apple-18promax-phone-case-magnetic-transparent-iphone17-acrylic-silicone-solid-color-skin-feel-frame/1AD8357853016175</t>
        </is>
      </c>
      <c r="J22" s="3" t="inlineStr"/>
      <c r="K22" s="4" t="n">
        <v>87.25</v>
      </c>
      <c r="L22" s="4" t="n">
        <v>16.55</v>
      </c>
      <c r="M22" s="4" t="n">
        <v>81.59999999999999</v>
      </c>
      <c r="N22" s="4" t="n">
        <v>5.09</v>
      </c>
      <c r="O22" s="4" t="n">
        <v>11.5</v>
      </c>
      <c r="P22" s="4" t="n">
        <v>20</v>
      </c>
      <c r="Q22" s="4" t="n">
        <v>0</v>
      </c>
      <c r="R22" s="4">
        <f>SUM(K22:Q22)</f>
        <v/>
      </c>
      <c r="S22" s="4">
        <f>IF(R22&lt;300, R22*1.4, IF(R22&lt;400, R22*1.33, R22*1.25))</f>
        <v/>
      </c>
      <c r="T22" s="5">
        <f>INT(S22/100)*100 + IF(MOD(ROUND(S22,0),100)&lt;25, 0, IF(MOD(ROUND(S22,0),100)&lt;=74, 49, 99))</f>
        <v/>
      </c>
      <c r="U22" s="4">
        <f>IF(T22&lt;300, 0, MIN(99, IF(T22&lt;500, T22*7%, IF(T22&lt;700, T22*12%, T22*15%))))</f>
        <v/>
      </c>
    </row>
    <row r="23">
      <c r="A23" s="6" t="inlineStr">
        <is>
          <t>17PM-AC-M-O-N</t>
        </is>
      </c>
      <c r="B23" s="7" t="inlineStr">
        <is>
          <t>Luxury Magnetic Clear Acrylic Case for iPhone 17 Pro Max – Anti-Yellow Shockproof Hard Hybrid Back Cover</t>
        </is>
      </c>
      <c r="C23" s="7" t="inlineStr">
        <is>
          <t>iPhone 17 Pro Max Magnetic Acrylic Case</t>
        </is>
      </c>
      <c r="D23" s="6" t="inlineStr">
        <is>
          <t>Acrylic</t>
        </is>
      </c>
      <c r="E23" s="6" t="inlineStr">
        <is>
          <t>Orange</t>
        </is>
      </c>
      <c r="F23" s="6" t="inlineStr">
        <is>
          <t>iPhone 17 Pro Max</t>
        </is>
      </c>
      <c r="G23" s="6" t="inlineStr">
        <is>
          <t>No</t>
        </is>
      </c>
      <c r="H23" s="6" t="inlineStr">
        <is>
          <t>Link</t>
        </is>
      </c>
      <c r="I23" s="7" t="inlineStr">
        <is>
          <t>https://moveon.global/BD_en/products/0000000XI6T00NZT-suitable-for-apple-18promax-phone-case-magnetic-transparent-iphone17-acrylic-silicone-solid-color-skin-feel-frame/1AD8357853016175</t>
        </is>
      </c>
      <c r="J23" s="7" t="inlineStr"/>
      <c r="K23" s="8" t="n">
        <v>87.25</v>
      </c>
      <c r="L23" s="8" t="n">
        <v>16.55</v>
      </c>
      <c r="M23" s="8" t="n">
        <v>81.59999999999999</v>
      </c>
      <c r="N23" s="8" t="n">
        <v>5.09</v>
      </c>
      <c r="O23" s="8" t="n">
        <v>11.5</v>
      </c>
      <c r="P23" s="8" t="n">
        <v>20</v>
      </c>
      <c r="Q23" s="8" t="n">
        <v>0</v>
      </c>
      <c r="R23" s="8">
        <f>SUM(K23:Q23)</f>
        <v/>
      </c>
      <c r="S23" s="8">
        <f>IF(R23&lt;300, R23*1.4, IF(R23&lt;400, R23*1.33, R23*1.25))</f>
        <v/>
      </c>
      <c r="T23" s="9">
        <f>INT(S23/100)*100 + IF(MOD(ROUND(S23,0),100)&lt;25, 0, IF(MOD(ROUND(S23,0),100)&lt;=74, 49, 99))</f>
        <v/>
      </c>
      <c r="U23" s="8">
        <f>IF(T23&lt;300, 0, MIN(99, IF(T23&lt;500, T23*7%, IF(T23&lt;700, T23*12%, T23*15%))))</f>
        <v/>
      </c>
    </row>
    <row r="24">
      <c r="A24" s="2" t="inlineStr">
        <is>
          <t>17PM-AC-M-PK-N</t>
        </is>
      </c>
      <c r="B24" s="3" t="inlineStr">
        <is>
          <t>Luxury Magnetic Clear Acrylic Case for iPhone 17 Pro Max – Anti-Yellow Shockproof Hard Hybrid Back Cover</t>
        </is>
      </c>
      <c r="C24" s="3" t="inlineStr">
        <is>
          <t>iPhone 17 Pro Max Magnetic Acrylic Case</t>
        </is>
      </c>
      <c r="D24" s="2" t="inlineStr">
        <is>
          <t>Acrylic</t>
        </is>
      </c>
      <c r="E24" s="2" t="inlineStr">
        <is>
          <t>Pink</t>
        </is>
      </c>
      <c r="F24" s="2" t="inlineStr">
        <is>
          <t>iPhone 17 Pro Max</t>
        </is>
      </c>
      <c r="G24" s="2" t="inlineStr">
        <is>
          <t>No</t>
        </is>
      </c>
      <c r="H24" s="2" t="inlineStr">
        <is>
          <t>Link</t>
        </is>
      </c>
      <c r="I24" s="3" t="inlineStr">
        <is>
          <t>https://moveon.global/BD_en/products/0000000XI6T00NZT-suitable-for-apple-18promax-phone-case-magnetic-transparent-iphone17-acrylic-silicone-solid-color-skin-feel-frame/1AD8357853016175</t>
        </is>
      </c>
      <c r="J24" s="3" t="inlineStr"/>
      <c r="K24" s="4" t="n">
        <v>87.25</v>
      </c>
      <c r="L24" s="4" t="n">
        <v>16.55</v>
      </c>
      <c r="M24" s="4" t="n">
        <v>81.59999999999999</v>
      </c>
      <c r="N24" s="4" t="n">
        <v>5.09</v>
      </c>
      <c r="O24" s="4" t="n">
        <v>11.5</v>
      </c>
      <c r="P24" s="4" t="n">
        <v>20</v>
      </c>
      <c r="Q24" s="4" t="n">
        <v>0</v>
      </c>
      <c r="R24" s="4">
        <f>SUM(K24:Q24)</f>
        <v/>
      </c>
      <c r="S24" s="4">
        <f>IF(R24&lt;300, R24*1.4, IF(R24&lt;400, R24*1.33, R24*1.25))</f>
        <v/>
      </c>
      <c r="T24" s="5">
        <f>INT(S24/100)*100 + IF(MOD(ROUND(S24,0),100)&lt;25, 0, IF(MOD(ROUND(S24,0),100)&lt;=74, 49, 99))</f>
        <v/>
      </c>
      <c r="U24" s="4">
        <f>IF(T24&lt;300, 0, MIN(99, IF(T24&lt;500, T24*7%, IF(T24&lt;700, T24*12%, T24*15%))))</f>
        <v/>
      </c>
    </row>
    <row r="25">
      <c r="A25" s="6" t="inlineStr">
        <is>
          <t>18PM-HS-S-N</t>
        </is>
      </c>
      <c r="B25" s="7" t="inlineStr">
        <is>
          <t>Ultra-Slim Matte Hard Case with Camera Lens Protector for iPhone 18 Pro Max – Luxury Anti-Scratch Protective Back Cover</t>
        </is>
      </c>
      <c r="C25" s="7" t="inlineStr">
        <is>
          <t>iPhone 18 Pro Max Hard Shell Case with Lens Film</t>
        </is>
      </c>
      <c r="D25" s="6" t="inlineStr">
        <is>
          <t>PCs</t>
        </is>
      </c>
      <c r="E25" s="6" t="inlineStr">
        <is>
          <t>Elegant Silver</t>
        </is>
      </c>
      <c r="F25" s="6" t="inlineStr">
        <is>
          <t>iPhone 18 Pro Max</t>
        </is>
      </c>
      <c r="G25" s="6" t="inlineStr">
        <is>
          <t>No</t>
        </is>
      </c>
      <c r="H25" s="6" t="inlineStr">
        <is>
          <t>Link</t>
        </is>
      </c>
      <c r="I25" s="7" t="inlineStr">
        <is>
          <t>https://moveon.global/BD_en/products/0000000BB3D8VSG8-suitable-for-iphone18promax-mobile-phone-case-ultra-thin-matte-heat-dissipation-apple-17-lens-film-all-inclusive-anti-fall-hard-case/1AC6111333736340</t>
        </is>
      </c>
      <c r="J25" s="7" t="inlineStr"/>
      <c r="K25" s="8" t="n">
        <v>119.7</v>
      </c>
      <c r="L25" s="8" t="n">
        <v>8.75</v>
      </c>
      <c r="M25" s="8" t="n">
        <v>38</v>
      </c>
      <c r="N25" s="8" t="n">
        <v>2.54</v>
      </c>
      <c r="O25" s="8" t="n">
        <v>11.5</v>
      </c>
      <c r="P25" s="8" t="n">
        <v>20</v>
      </c>
      <c r="Q25" s="8" t="n">
        <v>0</v>
      </c>
      <c r="R25" s="8">
        <f>SUM(K25:Q25)</f>
        <v/>
      </c>
      <c r="S25" s="8">
        <f>IF(R25&lt;300, R25*1.4, IF(R25&lt;400, R25*1.33, R25*1.25))</f>
        <v/>
      </c>
      <c r="T25" s="9">
        <f>INT(S25/100)*100 + IF(MOD(ROUND(S25,0),100)&lt;25, 0, IF(MOD(ROUND(S25,0),100)&lt;=74, 49, 99))</f>
        <v/>
      </c>
      <c r="U25" s="8">
        <f>IF(T25&lt;300, 0, MIN(99, IF(T25&lt;500, T25*7%, IF(T25&lt;700, T25*12%, T25*15%))))</f>
        <v/>
      </c>
    </row>
    <row r="26">
      <c r="A26" s="2" t="inlineStr">
        <is>
          <t>18P-HS-S-N</t>
        </is>
      </c>
      <c r="B26" s="3" t="inlineStr">
        <is>
          <t>Ultra-Slim Matte Hard Case with Camera Lens Protector for iPhone 18 Pro – Luxury Anti-Scratch Protective Back Cover</t>
        </is>
      </c>
      <c r="C26" s="3" t="inlineStr">
        <is>
          <t>iPhone 18 Pro Hard Shell Case with Lens Film</t>
        </is>
      </c>
      <c r="D26" s="2" t="inlineStr">
        <is>
          <t>PCs</t>
        </is>
      </c>
      <c r="E26" s="2" t="inlineStr">
        <is>
          <t>Elegant Silver</t>
        </is>
      </c>
      <c r="F26" s="2" t="inlineStr">
        <is>
          <t>iPhone 18 Pro</t>
        </is>
      </c>
      <c r="G26" s="2" t="inlineStr">
        <is>
          <t>No</t>
        </is>
      </c>
      <c r="H26" s="2" t="inlineStr">
        <is>
          <t>Link</t>
        </is>
      </c>
      <c r="I26" s="3" t="inlineStr">
        <is>
          <t>https://moveon.global/BD_en/products/0000000BB3D8VSG8-suitable-for-iphone18promax-mobile-phone-case-ultra-thin-matte-heat-dissipation-apple-17-lens-film-all-inclusive-anti-fall-hard-case/1AC6111333736340</t>
        </is>
      </c>
      <c r="J26" s="3" t="inlineStr"/>
      <c r="K26" s="4" t="n">
        <v>119.7</v>
      </c>
      <c r="L26" s="4" t="n">
        <v>8.75</v>
      </c>
      <c r="M26" s="4" t="n">
        <v>38</v>
      </c>
      <c r="N26" s="4" t="n">
        <v>2.54</v>
      </c>
      <c r="O26" s="4" t="n">
        <v>11.5</v>
      </c>
      <c r="P26" s="4" t="n">
        <v>20</v>
      </c>
      <c r="Q26" s="4" t="n">
        <v>0</v>
      </c>
      <c r="R26" s="4">
        <f>SUM(K26:Q26)</f>
        <v/>
      </c>
      <c r="S26" s="4">
        <f>IF(R26&lt;300, R26*1.4, IF(R26&lt;400, R26*1.33, R26*1.25))</f>
        <v/>
      </c>
      <c r="T26" s="5">
        <f>INT(S26/100)*100 + IF(MOD(ROUND(S26,0),100)&lt;25, 0, IF(MOD(ROUND(S26,0),100)&lt;=74, 49, 99))</f>
        <v/>
      </c>
      <c r="U26" s="4">
        <f>IF(T26&lt;300, 0, MIN(99, IF(T26&lt;500, T26*7%, IF(T26&lt;700, T26*12%, T26*15%))))</f>
        <v/>
      </c>
    </row>
    <row r="27">
      <c r="A27" s="6" t="inlineStr">
        <is>
          <t>17PM-HS-S-N</t>
        </is>
      </c>
      <c r="B27" s="7" t="inlineStr">
        <is>
          <t>Ultra-Slim Matte Hard Case with Camera Lens Protector for iPhone 17 Pro Max – Luxury Anti-Scratch Protective Back Cover</t>
        </is>
      </c>
      <c r="C27" s="7" t="inlineStr">
        <is>
          <t>iPhone 17 Pro Max Hard Shell Case with Lens Film</t>
        </is>
      </c>
      <c r="D27" s="6" t="inlineStr">
        <is>
          <t>PCs</t>
        </is>
      </c>
      <c r="E27" s="6" t="inlineStr">
        <is>
          <t>Elegant Silver</t>
        </is>
      </c>
      <c r="F27" s="6" t="inlineStr">
        <is>
          <t>iPhone 17 Pro Max</t>
        </is>
      </c>
      <c r="G27" s="6" t="inlineStr">
        <is>
          <t>No</t>
        </is>
      </c>
      <c r="H27" s="6" t="inlineStr">
        <is>
          <t>Link</t>
        </is>
      </c>
      <c r="I27" s="7" t="inlineStr">
        <is>
          <t>https://moveon.global/BD_en/products/0000000BB3D8VSG8-suitable-for-iphone18promax-mobile-phone-case-ultra-thin-matte-heat-dissipation-apple-17-lens-film-all-inclusive-anti-fall-hard-case/1AC6111333736340</t>
        </is>
      </c>
      <c r="J27" s="7" t="inlineStr"/>
      <c r="K27" s="8" t="n">
        <v>119.7</v>
      </c>
      <c r="L27" s="8" t="n">
        <v>8.75</v>
      </c>
      <c r="M27" s="8" t="n">
        <v>38</v>
      </c>
      <c r="N27" s="8" t="n">
        <v>2.54</v>
      </c>
      <c r="O27" s="8" t="n">
        <v>11.5</v>
      </c>
      <c r="P27" s="8" t="n">
        <v>20</v>
      </c>
      <c r="Q27" s="8" t="n">
        <v>0</v>
      </c>
      <c r="R27" s="8">
        <f>SUM(K27:Q27)</f>
        <v/>
      </c>
      <c r="S27" s="8">
        <f>IF(R27&lt;300, R27*1.4, IF(R27&lt;400, R27*1.33, R27*1.25))</f>
        <v/>
      </c>
      <c r="T27" s="9">
        <f>INT(S27/100)*100 + IF(MOD(ROUND(S27,0),100)&lt;25, 0, IF(MOD(ROUND(S27,0),100)&lt;=74, 49, 99))</f>
        <v/>
      </c>
      <c r="U27" s="8">
        <f>IF(T27&lt;300, 0, MIN(99, IF(T27&lt;500, T27*7%, IF(T27&lt;700, T27*12%, T27*15%))))</f>
        <v/>
      </c>
    </row>
    <row r="28">
      <c r="A28" s="2" t="inlineStr">
        <is>
          <t>17P-HS-S-N</t>
        </is>
      </c>
      <c r="B28" s="3" t="inlineStr">
        <is>
          <t>Ultra-Slim Matte Hard Case with Camera Lens Protector for iPhone 17 Pro – Luxury Anti-Scratch Protective Back Cover</t>
        </is>
      </c>
      <c r="C28" s="3" t="inlineStr">
        <is>
          <t>iPhone 17 Pro Hard Shell Case with Lens Film</t>
        </is>
      </c>
      <c r="D28" s="2" t="inlineStr">
        <is>
          <t>PCs</t>
        </is>
      </c>
      <c r="E28" s="2" t="inlineStr">
        <is>
          <t>Elegant Silver</t>
        </is>
      </c>
      <c r="F28" s="2" t="inlineStr">
        <is>
          <t>iPhone 17 Pro</t>
        </is>
      </c>
      <c r="G28" s="2" t="inlineStr">
        <is>
          <t>No</t>
        </is>
      </c>
      <c r="H28" s="2" t="inlineStr">
        <is>
          <t>Link</t>
        </is>
      </c>
      <c r="I28" s="3" t="inlineStr">
        <is>
          <t>https://moveon.global/BD_en/products/0000000BB3D8VSG8-suitable-for-iphone18promax-mobile-phone-case-ultra-thin-matte-heat-dissipation-apple-17-lens-film-all-inclusive-anti-fall-hard-case/1AC6111333736340</t>
        </is>
      </c>
      <c r="J28" s="3" t="inlineStr"/>
      <c r="K28" s="4" t="n">
        <v>119.7</v>
      </c>
      <c r="L28" s="4" t="n">
        <v>8.75</v>
      </c>
      <c r="M28" s="4" t="n">
        <v>38</v>
      </c>
      <c r="N28" s="4" t="n">
        <v>2.54</v>
      </c>
      <c r="O28" s="4" t="n">
        <v>11.5</v>
      </c>
      <c r="P28" s="4" t="n">
        <v>20</v>
      </c>
      <c r="Q28" s="4" t="n">
        <v>0</v>
      </c>
      <c r="R28" s="4">
        <f>SUM(K28:Q28)</f>
        <v/>
      </c>
      <c r="S28" s="4">
        <f>IF(R28&lt;300, R28*1.4, IF(R28&lt;400, R28*1.33, R28*1.25))</f>
        <v/>
      </c>
      <c r="T28" s="5">
        <f>INT(S28/100)*100 + IF(MOD(ROUND(S28,0),100)&lt;25, 0, IF(MOD(ROUND(S28,0),100)&lt;=74, 49, 99))</f>
        <v/>
      </c>
      <c r="U28" s="4">
        <f>IF(T28&lt;300, 0, MIN(99, IF(T28&lt;500, T28*7%, IF(T28&lt;700, T28*12%, T28*15%))))</f>
        <v/>
      </c>
    </row>
    <row r="29">
      <c r="A29" s="6" t="inlineStr">
        <is>
          <t>RN8-SIL-WT-S</t>
        </is>
      </c>
      <c r="B29" s="7" t="inlineStr">
        <is>
          <t>Luxury Liquid Silicone Shockproof Case for Realme GT Neo 8 – Skin-Friendly Soft Cube Anti-Drop Protective Back Cover</t>
        </is>
      </c>
      <c r="C29" s="7" t="inlineStr">
        <is>
          <t>Suitable for Realme Neo8 phone case, simple solid color cube liquid silicone full-cover anti-drop soft case, new model</t>
        </is>
      </c>
      <c r="D29" s="6" t="inlineStr">
        <is>
          <t>Liquid Silicone</t>
        </is>
      </c>
      <c r="E29" s="6" t="inlineStr">
        <is>
          <t>Antique White</t>
        </is>
      </c>
      <c r="F29" s="6" t="inlineStr">
        <is>
          <t>Realme Neo8</t>
        </is>
      </c>
      <c r="G29" s="6" t="inlineStr">
        <is>
          <t>No</t>
        </is>
      </c>
      <c r="H29" s="6" t="inlineStr">
        <is>
          <t>Link</t>
        </is>
      </c>
      <c r="I29" s="7" t="inlineStr">
        <is>
          <t>https://moveon.global/BD_en/products/0000000MJPDSKGCI-suitable-for-realme-neo8-phone-case-simple-solid-color-cube-liquid-silicone-full-cover-anti-drop-soft-case-new-model/1AD8354574484115</t>
        </is>
      </c>
      <c r="J29" s="7" t="inlineStr">
        <is>
          <t>Realme Neo8/Liquid Silicone/sku/RN8-SIL-WT-S.jpg</t>
        </is>
      </c>
      <c r="K29" s="8" t="n">
        <v>39.9</v>
      </c>
      <c r="L29" s="8" t="n">
        <v>10</v>
      </c>
      <c r="M29" s="8" t="n">
        <v>50</v>
      </c>
      <c r="N29" s="8" t="n">
        <v>5</v>
      </c>
      <c r="O29" s="8" t="n">
        <v>11.5</v>
      </c>
      <c r="P29" s="8" t="n">
        <v>20</v>
      </c>
      <c r="Q29" s="8" t="n">
        <v>0</v>
      </c>
      <c r="R29" s="8">
        <f>SUM(K29:Q29)</f>
        <v/>
      </c>
      <c r="S29" s="8">
        <f>IF(R29&lt;300, R29*1.4, IF(R29&lt;400, R29*1.33, R29*1.25))</f>
        <v/>
      </c>
      <c r="T29" s="9">
        <f>INT(S29/100)*100 + IF(MOD(ROUND(S29,0),100)&lt;25, 0, IF(MOD(ROUND(S29,0),100)&lt;=74, 49, 99))</f>
        <v/>
      </c>
      <c r="U29" s="8">
        <f>IF(T29&lt;300, 0, MIN(99, IF(T29&lt;500, T29*7%, IF(T29&lt;700, T29*12%, T29*15%))))</f>
        <v/>
      </c>
    </row>
    <row r="30">
      <c r="A30" s="2" t="inlineStr">
        <is>
          <t>RN8-SIL-PR-S</t>
        </is>
      </c>
      <c r="B30" s="3" t="inlineStr">
        <is>
          <t>Luxury Liquid Silicone Shockproof Case for Realme GT Neo 8 – Skin-Friendly Soft Cube Anti-Drop Protective Back Cover</t>
        </is>
      </c>
      <c r="C30" s="3" t="inlineStr">
        <is>
          <t>Suitable for Realme Neo8 phone case, simple solid color cube liquid silicone full-cover anti-drop soft case, new model</t>
        </is>
      </c>
      <c r="D30" s="2" t="inlineStr">
        <is>
          <t>Liquid Silicone</t>
        </is>
      </c>
      <c r="E30" s="2" t="inlineStr">
        <is>
          <t>Grass Purple</t>
        </is>
      </c>
      <c r="F30" s="2" t="inlineStr">
        <is>
          <t>Realme Neo8</t>
        </is>
      </c>
      <c r="G30" s="2" t="inlineStr">
        <is>
          <t>No</t>
        </is>
      </c>
      <c r="H30" s="2" t="inlineStr">
        <is>
          <t>Link</t>
        </is>
      </c>
      <c r="I30" s="3" t="inlineStr">
        <is>
          <t>https://moveon.global/BD_en/products/0000000MJPDSKGCI-suitable-for-realme-neo8-phone-case-simple-solid-color-cube-liquid-silicone-full-cover-anti-drop-soft-case-new-model/1AD8354574484115</t>
        </is>
      </c>
      <c r="J30" s="3" t="inlineStr">
        <is>
          <t>Realme Neo8/Liquid Silicone/sku/RN8-SIL-PR-S.jpg</t>
        </is>
      </c>
      <c r="K30" s="4" t="n">
        <v>39.9</v>
      </c>
      <c r="L30" s="4" t="n">
        <v>10</v>
      </c>
      <c r="M30" s="4" t="n">
        <v>50</v>
      </c>
      <c r="N30" s="4" t="n">
        <v>5</v>
      </c>
      <c r="O30" s="4" t="n">
        <v>11.5</v>
      </c>
      <c r="P30" s="4" t="n">
        <v>20</v>
      </c>
      <c r="Q30" s="4" t="n">
        <v>0</v>
      </c>
      <c r="R30" s="4">
        <f>SUM(K30:Q30)</f>
        <v/>
      </c>
      <c r="S30" s="4">
        <f>IF(R30&lt;300, R30*1.4, IF(R30&lt;400, R30*1.33, R30*1.25))</f>
        <v/>
      </c>
      <c r="T30" s="5">
        <f>INT(S30/100)*100 + IF(MOD(ROUND(S30,0),100)&lt;25, 0, IF(MOD(ROUND(S30,0),100)&lt;=74, 49, 99))</f>
        <v/>
      </c>
      <c r="U30" s="4">
        <f>IF(T30&lt;300, 0, MIN(99, IF(T30&lt;500, T30*7%, IF(T30&lt;700, T30*12%, T30*15%))))</f>
        <v/>
      </c>
    </row>
    <row r="31">
      <c r="A31" s="6" t="inlineStr">
        <is>
          <t>RN8-SIL-GN-S</t>
        </is>
      </c>
      <c r="B31" s="7" t="inlineStr">
        <is>
          <t>Luxury Liquid Silicone Shockproof Case for Realme GT Neo 8 – Skin-Friendly Soft Cube Anti-Drop Protective Back Cover</t>
        </is>
      </c>
      <c r="C31" s="7" t="inlineStr">
        <is>
          <t>Suitable for Realme Neo8 phone case, simple solid color cube liquid silicone full-cover anti-drop soft case, new model</t>
        </is>
      </c>
      <c r="D31" s="6" t="inlineStr">
        <is>
          <t>Liquid Silicone</t>
        </is>
      </c>
      <c r="E31" s="6" t="inlineStr">
        <is>
          <t>Dark Night Green</t>
        </is>
      </c>
      <c r="F31" s="6" t="inlineStr">
        <is>
          <t>Realme Neo8</t>
        </is>
      </c>
      <c r="G31" s="6" t="inlineStr">
        <is>
          <t>No</t>
        </is>
      </c>
      <c r="H31" s="6" t="inlineStr">
        <is>
          <t>Link</t>
        </is>
      </c>
      <c r="I31" s="7" t="inlineStr">
        <is>
          <t>https://moveon.global/BD_en/products/0000000MJPDSKGCI-suitable-for-realme-neo8-phone-case-simple-solid-color-cube-liquid-silicone-full-cover-anti-drop-soft-case-new-model/1AD8354574484115</t>
        </is>
      </c>
      <c r="J31" s="7" t="inlineStr">
        <is>
          <t>Realme Neo8/Liquid Silicone/sku/RN8-SIL-GN-S.jpg</t>
        </is>
      </c>
      <c r="K31" s="8" t="n">
        <v>39.9</v>
      </c>
      <c r="L31" s="8" t="n">
        <v>10</v>
      </c>
      <c r="M31" s="8" t="n">
        <v>50</v>
      </c>
      <c r="N31" s="8" t="n">
        <v>5</v>
      </c>
      <c r="O31" s="8" t="n">
        <v>11.5</v>
      </c>
      <c r="P31" s="8" t="n">
        <v>20</v>
      </c>
      <c r="Q31" s="8" t="n">
        <v>0</v>
      </c>
      <c r="R31" s="8">
        <f>SUM(K31:Q31)</f>
        <v/>
      </c>
      <c r="S31" s="8">
        <f>IF(R31&lt;300, R31*1.4, IF(R31&lt;400, R31*1.33, R31*1.25))</f>
        <v/>
      </c>
      <c r="T31" s="9">
        <f>INT(S31/100)*100 + IF(MOD(ROUND(S31,0),100)&lt;25, 0, IF(MOD(ROUND(S31,0),100)&lt;=74, 49, 99))</f>
        <v/>
      </c>
      <c r="U31" s="8">
        <f>IF(T31&lt;300, 0, MIN(99, IF(T31&lt;500, T31*7%, IF(T31&lt;700, T31*12%, T31*15%))))</f>
        <v/>
      </c>
    </row>
    <row r="32">
      <c r="A32" s="2" t="inlineStr">
        <is>
          <t>RN8-SIL-BL-S</t>
        </is>
      </c>
      <c r="B32" s="3" t="inlineStr">
        <is>
          <t>Luxury Liquid Silicone Shockproof Case for Realme GT Neo 8 – Skin-Friendly Soft Cube Anti-Drop Protective Back Cover</t>
        </is>
      </c>
      <c r="C32" s="3" t="inlineStr">
        <is>
          <t>Suitable for Realme Neo8 phone case, simple solid color cube liquid silicone full-cover anti-drop soft case, new model</t>
        </is>
      </c>
      <c r="D32" s="2" t="inlineStr">
        <is>
          <t>Liquid Silicone</t>
        </is>
      </c>
      <c r="E32" s="2" t="inlineStr">
        <is>
          <t>Royal Blue</t>
        </is>
      </c>
      <c r="F32" s="2" t="inlineStr">
        <is>
          <t>Realme Neo8</t>
        </is>
      </c>
      <c r="G32" s="2" t="inlineStr">
        <is>
          <t>No</t>
        </is>
      </c>
      <c r="H32" s="2" t="inlineStr">
        <is>
          <t>Link</t>
        </is>
      </c>
      <c r="I32" s="3" t="inlineStr">
        <is>
          <t>https://moveon.global/BD_en/products/0000000MJPDSKGCI-suitable-for-realme-neo8-phone-case-simple-solid-color-cube-liquid-silicone-full-cover-anti-drop-soft-case-new-model/1AD8354574484115</t>
        </is>
      </c>
      <c r="J32" s="3" t="inlineStr">
        <is>
          <t>Realme Neo8/Liquid Silicone/sku/RN8-SIL-BL-S.jpg</t>
        </is>
      </c>
      <c r="K32" s="4" t="n">
        <v>39.9</v>
      </c>
      <c r="L32" s="4" t="n">
        <v>10</v>
      </c>
      <c r="M32" s="4" t="n">
        <v>50</v>
      </c>
      <c r="N32" s="4" t="n">
        <v>5</v>
      </c>
      <c r="O32" s="4" t="n">
        <v>11.5</v>
      </c>
      <c r="P32" s="4" t="n">
        <v>20</v>
      </c>
      <c r="Q32" s="4" t="n">
        <v>0</v>
      </c>
      <c r="R32" s="4">
        <f>SUM(K32:Q32)</f>
        <v/>
      </c>
      <c r="S32" s="4">
        <f>IF(R32&lt;300, R32*1.4, IF(R32&lt;400, R32*1.33, R32*1.25))</f>
        <v/>
      </c>
      <c r="T32" s="5">
        <f>INT(S32/100)*100 + IF(MOD(ROUND(S32,0),100)&lt;25, 0, IF(MOD(ROUND(S32,0),100)&lt;=74, 49, 99))</f>
        <v/>
      </c>
      <c r="U32" s="4">
        <f>IF(T32&lt;300, 0, MIN(99, IF(T32&lt;500, T32*7%, IF(T32&lt;700, T32*12%, T32*15%))))</f>
        <v/>
      </c>
    </row>
    <row r="33">
      <c r="A33" s="6" t="inlineStr">
        <is>
          <t>RN8-SIL-BK-S</t>
        </is>
      </c>
      <c r="B33" s="7" t="inlineStr">
        <is>
          <t>Luxury Liquid Silicone Shockproof Case for Realme GT Neo 8 – Skin-Friendly Soft Cube Anti-Drop Protective Back Cover</t>
        </is>
      </c>
      <c r="C33" s="7" t="inlineStr">
        <is>
          <t>Suitable for Realme Neo8 phone case, simple solid color cube liquid silicone full-cover anti-drop soft case, new model</t>
        </is>
      </c>
      <c r="D33" s="6" t="inlineStr">
        <is>
          <t>Liquid Silicone</t>
        </is>
      </c>
      <c r="E33" s="6" t="inlineStr">
        <is>
          <t>Classic Black</t>
        </is>
      </c>
      <c r="F33" s="6" t="inlineStr">
        <is>
          <t>Realme Neo8</t>
        </is>
      </c>
      <c r="G33" s="6" t="inlineStr">
        <is>
          <t>No</t>
        </is>
      </c>
      <c r="H33" s="6" t="inlineStr">
        <is>
          <t>Link</t>
        </is>
      </c>
      <c r="I33" s="7" t="inlineStr">
        <is>
          <t>https://moveon.global/BD_en/products/0000000MJPDSKGCI-suitable-for-realme-neo8-phone-case-simple-solid-color-cube-liquid-silicone-full-cover-anti-drop-soft-case-new-model/1AD8354574484115</t>
        </is>
      </c>
      <c r="J33" s="7" t="inlineStr">
        <is>
          <t>Realme Neo8/Liquid Silicone/sku/RN8-SIL-BK-S.jpg</t>
        </is>
      </c>
      <c r="K33" s="8" t="n">
        <v>39.9</v>
      </c>
      <c r="L33" s="8" t="n">
        <v>10</v>
      </c>
      <c r="M33" s="8" t="n">
        <v>50</v>
      </c>
      <c r="N33" s="8" t="n">
        <v>5</v>
      </c>
      <c r="O33" s="8" t="n">
        <v>11.5</v>
      </c>
      <c r="P33" s="8" t="n">
        <v>20</v>
      </c>
      <c r="Q33" s="8" t="n">
        <v>0</v>
      </c>
      <c r="R33" s="8">
        <f>SUM(K33:Q33)</f>
        <v/>
      </c>
      <c r="S33" s="8">
        <f>IF(R33&lt;300, R33*1.4, IF(R33&lt;400, R33*1.33, R33*1.25))</f>
        <v/>
      </c>
      <c r="T33" s="9">
        <f>INT(S33/100)*100 + IF(MOD(ROUND(S33,0),100)&lt;25, 0, IF(MOD(ROUND(S33,0),100)&lt;=74, 49, 99))</f>
        <v/>
      </c>
      <c r="U33" s="8">
        <f>IF(T33&lt;300, 0, MIN(99, IF(T33&lt;500, T33*7%, IF(T33&lt;700, T33*12%, T33*15%))))</f>
        <v/>
      </c>
    </row>
    <row r="34">
      <c r="A34" s="2" t="inlineStr">
        <is>
          <t>RN8-SIL-GY-S</t>
        </is>
      </c>
      <c r="B34" s="3" t="inlineStr">
        <is>
          <t>Luxury Liquid Silicone Shockproof Case for Realme GT Neo 8 – Skin-Friendly Soft Cube Anti-Drop Protective Back Cover</t>
        </is>
      </c>
      <c r="C34" s="3" t="inlineStr">
        <is>
          <t>Suitable for Realme Neo8 phone case, simple solid color cube liquid silicone full-cover anti-drop soft case, new model</t>
        </is>
      </c>
      <c r="D34" s="2" t="inlineStr">
        <is>
          <t>Liquid Silicone</t>
        </is>
      </c>
      <c r="E34" s="2" t="inlineStr">
        <is>
          <t>Lavender Gray</t>
        </is>
      </c>
      <c r="F34" s="2" t="inlineStr">
        <is>
          <t>Realme Neo8</t>
        </is>
      </c>
      <c r="G34" s="2" t="inlineStr">
        <is>
          <t>No</t>
        </is>
      </c>
      <c r="H34" s="2" t="inlineStr">
        <is>
          <t>Link</t>
        </is>
      </c>
      <c r="I34" s="3" t="inlineStr">
        <is>
          <t>https://moveon.global/BD_en/products/0000000MJPDSKGCI-suitable-for-realme-neo8-phone-case-simple-solid-color-cube-liquid-silicone-full-cover-anti-drop-soft-case-new-model/1AD8354574484115</t>
        </is>
      </c>
      <c r="J34" s="3" t="inlineStr">
        <is>
          <t>Realme Neo8/Liquid Silicone/sku/RN8-SIL-GY-S.jpg</t>
        </is>
      </c>
      <c r="K34" s="4" t="n">
        <v>39.9</v>
      </c>
      <c r="L34" s="4" t="n">
        <v>10</v>
      </c>
      <c r="M34" s="4" t="n">
        <v>50</v>
      </c>
      <c r="N34" s="4" t="n">
        <v>5</v>
      </c>
      <c r="O34" s="4" t="n">
        <v>11.5</v>
      </c>
      <c r="P34" s="4" t="n">
        <v>20</v>
      </c>
      <c r="Q34" s="4" t="n">
        <v>0</v>
      </c>
      <c r="R34" s="4">
        <f>SUM(K34:Q34)</f>
        <v/>
      </c>
      <c r="S34" s="4">
        <f>IF(R34&lt;300, R34*1.4, IF(R34&lt;400, R34*1.33, R34*1.25))</f>
        <v/>
      </c>
      <c r="T34" s="5">
        <f>INT(S34/100)*100 + IF(MOD(ROUND(S34,0),100)&lt;25, 0, IF(MOD(ROUND(S34,0),100)&lt;=74, 49, 99))</f>
        <v/>
      </c>
      <c r="U34" s="4">
        <f>IF(T34&lt;300, 0, MIN(99, IF(T34&lt;500, T34*7%, IF(T34&lt;700, T34*12%, T34*15%))))</f>
        <v/>
      </c>
    </row>
    <row r="35">
      <c r="A35" s="6" t="inlineStr">
        <is>
          <t>RN8-SIL-RD-S</t>
        </is>
      </c>
      <c r="B35" s="7" t="inlineStr">
        <is>
          <t>Luxury Liquid Silicone Shockproof Case for Realme GT Neo 8 – Skin-Friendly Soft Cube Anti-Drop Protective Back Cover</t>
        </is>
      </c>
      <c r="C35" s="7" t="inlineStr">
        <is>
          <t>Suitable for Realme Neo8 phone case, simple solid color cube liquid silicone full-cover anti-drop soft case, new model</t>
        </is>
      </c>
      <c r="D35" s="6" t="inlineStr">
        <is>
          <t>Liquid Silicone</t>
        </is>
      </c>
      <c r="E35" s="6" t="inlineStr">
        <is>
          <t>Camellia Red</t>
        </is>
      </c>
      <c r="F35" s="6" t="inlineStr">
        <is>
          <t>Realme Neo8</t>
        </is>
      </c>
      <c r="G35" s="6" t="inlineStr">
        <is>
          <t>No</t>
        </is>
      </c>
      <c r="H35" s="6" t="inlineStr">
        <is>
          <t>Link</t>
        </is>
      </c>
      <c r="I35" s="7" t="inlineStr">
        <is>
          <t>https://moveon.global/BD_en/products/0000000MJPDSKGCI-suitable-for-realme-neo8-phone-case-simple-solid-color-cube-liquid-silicone-full-cover-anti-drop-soft-case-new-model/1AD8354574484115</t>
        </is>
      </c>
      <c r="J35" s="7" t="inlineStr">
        <is>
          <t>Realme Neo8/Liquid Silicone/sku/RN8-SIL-RD-S.jpg</t>
        </is>
      </c>
      <c r="K35" s="8" t="n">
        <v>39.9</v>
      </c>
      <c r="L35" s="8" t="n">
        <v>10</v>
      </c>
      <c r="M35" s="8" t="n">
        <v>50</v>
      </c>
      <c r="N35" s="8" t="n">
        <v>5</v>
      </c>
      <c r="O35" s="8" t="n">
        <v>11.5</v>
      </c>
      <c r="P35" s="8" t="n">
        <v>20</v>
      </c>
      <c r="Q35" s="8" t="n">
        <v>0</v>
      </c>
      <c r="R35" s="8">
        <f>SUM(K35:Q35)</f>
        <v/>
      </c>
      <c r="S35" s="8">
        <f>IF(R35&lt;300, R35*1.4, IF(R35&lt;400, R35*1.33, R35*1.25))</f>
        <v/>
      </c>
      <c r="T35" s="9">
        <f>INT(S35/100)*100 + IF(MOD(ROUND(S35,0),100)&lt;25, 0, IF(MOD(ROUND(S35,0),100)&lt;=74, 49, 99))</f>
        <v/>
      </c>
      <c r="U35" s="8">
        <f>IF(T35&lt;300, 0, MIN(99, IF(T35&lt;500, T35*7%, IF(T35&lt;700, T35*12%, T35*15%))))</f>
        <v/>
      </c>
    </row>
    <row r="36">
      <c r="A36" s="2" t="inlineStr">
        <is>
          <t>RN8-SIL-TL-S</t>
        </is>
      </c>
      <c r="B36" s="3" t="inlineStr">
        <is>
          <t>Luxury Liquid Silicone Shockproof Case for Realme GT Neo 8 – Skin-Friendly Soft Cube Anti-Drop Protective Back Cover</t>
        </is>
      </c>
      <c r="C36" s="3" t="inlineStr">
        <is>
          <t>Suitable for Realme Neo8 phone case, simple solid color cube liquid silicone full-cover anti-drop soft case, new model</t>
        </is>
      </c>
      <c r="D36" s="2" t="inlineStr">
        <is>
          <t>Liquid Silicone</t>
        </is>
      </c>
      <c r="E36" s="2" t="inlineStr">
        <is>
          <t>Light Teal</t>
        </is>
      </c>
      <c r="F36" s="2" t="inlineStr">
        <is>
          <t>Realme Neo8</t>
        </is>
      </c>
      <c r="G36" s="2" t="inlineStr">
        <is>
          <t>No</t>
        </is>
      </c>
      <c r="H36" s="2" t="inlineStr">
        <is>
          <t>Link</t>
        </is>
      </c>
      <c r="I36" s="3" t="inlineStr">
        <is>
          <t>https://moveon.global/BD_en/products/0000000MJPDSKGCI-suitable-for-realme-neo8-phone-case-simple-solid-color-cube-liquid-silicone-full-cover-anti-drop-soft-case-new-model/1AD8354574484115</t>
        </is>
      </c>
      <c r="J36" s="3" t="inlineStr">
        <is>
          <t>Realme Neo8/Liquid Silicone/sku/RN8-SIL-TL-S.jpg</t>
        </is>
      </c>
      <c r="K36" s="4" t="n">
        <v>39.9</v>
      </c>
      <c r="L36" s="4" t="n">
        <v>10</v>
      </c>
      <c r="M36" s="4" t="n">
        <v>50</v>
      </c>
      <c r="N36" s="4" t="n">
        <v>5</v>
      </c>
      <c r="O36" s="4" t="n">
        <v>11.5</v>
      </c>
      <c r="P36" s="4" t="n">
        <v>20</v>
      </c>
      <c r="Q36" s="4" t="n">
        <v>0</v>
      </c>
      <c r="R36" s="4">
        <f>SUM(K36:Q36)</f>
        <v/>
      </c>
      <c r="S36" s="4">
        <f>IF(R36&lt;300, R36*1.4, IF(R36&lt;400, R36*1.33, R36*1.25))</f>
        <v/>
      </c>
      <c r="T36" s="5">
        <f>INT(S36/100)*100 + IF(MOD(ROUND(S36,0),100)&lt;25, 0, IF(MOD(ROUND(S36,0),100)&lt;=74, 49, 99))</f>
        <v/>
      </c>
      <c r="U36" s="4">
        <f>IF(T36&lt;300, 0, MIN(99, IF(T36&lt;500, T36*7%, IF(T36&lt;700, T36*12%, T36*15%))))</f>
        <v/>
      </c>
    </row>
    <row r="37">
      <c r="A37" s="6" t="inlineStr">
        <is>
          <t>RN8-SIL-CL-C</t>
        </is>
      </c>
      <c r="B37" s="7" t="inlineStr">
        <is>
          <t>Luxury Liquid Silicone Shockproof Case for Realme GT Neo 8 – Skin-Friendly Soft Cube Anti-Drop Protective Back Cover</t>
        </is>
      </c>
      <c r="C37" s="7" t="inlineStr">
        <is>
          <t>Suitable for Realme Neo8 phone case, simple solid color cube liquid silicone full-cover anti-drop soft case, new model</t>
        </is>
      </c>
      <c r="D37" s="6" t="inlineStr">
        <is>
          <t>Liquid Silicone</t>
        </is>
      </c>
      <c r="E37" s="6" t="inlineStr">
        <is>
          <t>Transparent</t>
        </is>
      </c>
      <c r="F37" s="6" t="inlineStr">
        <is>
          <t>Realme Neo8</t>
        </is>
      </c>
      <c r="G37" s="6" t="inlineStr">
        <is>
          <t>No</t>
        </is>
      </c>
      <c r="H37" s="6" t="inlineStr">
        <is>
          <t>Link</t>
        </is>
      </c>
      <c r="I37" s="7" t="inlineStr">
        <is>
          <t>https://moveon.global/BD_en/products/0000000MJPDSKGCI-suitable-for-realme-neo8-phone-case-simple-solid-color-cube-liquid-silicone-full-cover-anti-drop-soft-case-new-model/1AD8354574484115</t>
        </is>
      </c>
      <c r="J37" s="7" t="inlineStr">
        <is>
          <t>Realme Neo8/Liquid Silicone/sku/RN8-SIL-CL-C.jpg</t>
        </is>
      </c>
      <c r="K37" s="8" t="n">
        <v>39.9</v>
      </c>
      <c r="L37" s="8" t="n">
        <v>10</v>
      </c>
      <c r="M37" s="8" t="n">
        <v>50</v>
      </c>
      <c r="N37" s="8" t="n">
        <v>5</v>
      </c>
      <c r="O37" s="8" t="n">
        <v>11.5</v>
      </c>
      <c r="P37" s="8" t="n">
        <v>20</v>
      </c>
      <c r="Q37" s="8" t="n">
        <v>0</v>
      </c>
      <c r="R37" s="8">
        <f>SUM(K37:Q37)</f>
        <v/>
      </c>
      <c r="S37" s="8">
        <f>IF(R37&lt;300, R37*1.4, IF(R37&lt;400, R37*1.33, R37*1.25))</f>
        <v/>
      </c>
      <c r="T37" s="9">
        <f>INT(S37/100)*100 + IF(MOD(ROUND(S37,0),100)&lt;25, 0, IF(MOD(ROUND(S37,0),100)&lt;=74, 49, 99))</f>
        <v/>
      </c>
      <c r="U37" s="8">
        <f>IF(T37&lt;300, 0, MIN(99, IF(T37&lt;500, T37*7%, IF(T37&lt;700, T37*12%, T37*15%))))</f>
        <v/>
      </c>
    </row>
    <row r="38">
      <c r="A38" s="2" t="inlineStr">
        <is>
          <t>RN8-TPU-WT-M</t>
        </is>
      </c>
      <c r="B38" s="3" t="inlineStr">
        <is>
          <t>Magnetic Ultra-Thin Shockproof Case for Realme GT Neo 8 – Slim Soft TPU Full Protection Back Cover</t>
        </is>
      </c>
      <c r="C38" s="3" t="inlineStr">
        <is>
          <t>Suitable for Realme Neo8 Mobile Phone Case, Magnetic Ultra-Thin Soft Case, Realme Thin Neo8 Protective Case, Tpu Full Cover</t>
        </is>
      </c>
      <c r="D38" s="2" t="inlineStr">
        <is>
          <t>TPU</t>
        </is>
      </c>
      <c r="E38" s="2" t="inlineStr">
        <is>
          <t>Transparent White</t>
        </is>
      </c>
      <c r="F38" s="2" t="inlineStr">
        <is>
          <t>Realme Neo8</t>
        </is>
      </c>
      <c r="G38" s="2" t="inlineStr">
        <is>
          <t>No</t>
        </is>
      </c>
      <c r="H38" s="2" t="inlineStr">
        <is>
          <t>Link</t>
        </is>
      </c>
      <c r="I38" s="3" t="inlineStr">
        <is>
          <t>https://moveon.global/BD_en/products/0000000J0H1734SE-suitable-for-realme-neo8-mobile-phone-case-magnetic-ultra-thin-soft-case-realme-thin-neo8-protective-case-tpu-full-cover/1AD8318293575646</t>
        </is>
      </c>
      <c r="J38" s="3" t="inlineStr">
        <is>
          <t>Realme Neo8/TPU/sku/RN8-TPU-WT-M.jpg</t>
        </is>
      </c>
      <c r="K38" s="4" t="n">
        <v>133</v>
      </c>
      <c r="L38" s="4" t="n">
        <v>10</v>
      </c>
      <c r="M38" s="4" t="n">
        <v>50</v>
      </c>
      <c r="N38" s="4" t="n">
        <v>5</v>
      </c>
      <c r="O38" s="4" t="n">
        <v>11.5</v>
      </c>
      <c r="P38" s="4" t="n">
        <v>20</v>
      </c>
      <c r="Q38" s="4" t="n">
        <v>0</v>
      </c>
      <c r="R38" s="4">
        <f>SUM(K38:Q38)</f>
        <v/>
      </c>
      <c r="S38" s="4">
        <f>IF(R38&lt;300, R38*1.4, IF(R38&lt;400, R38*1.33, R38*1.25))</f>
        <v/>
      </c>
      <c r="T38" s="5">
        <f>INT(S38/100)*100 + IF(MOD(ROUND(S38,0),100)&lt;25, 0, IF(MOD(ROUND(S38,0),100)&lt;=74, 49, 99))</f>
        <v/>
      </c>
      <c r="U38" s="4">
        <f>IF(T38&lt;300, 0, MIN(99, IF(T38&lt;500, T38*7%, IF(T38&lt;700, T38*12%, T38*15%))))</f>
        <v/>
      </c>
    </row>
    <row r="39">
      <c r="A39" s="6" t="inlineStr">
        <is>
          <t>RN8-TPU-BK-M</t>
        </is>
      </c>
      <c r="B39" s="7" t="inlineStr">
        <is>
          <t>Magnetic Ultra-Thin Shockproof Case for Realme GT Neo 8 – Slim Soft TPU Full Protection Back Cover</t>
        </is>
      </c>
      <c r="C39" s="7" t="inlineStr">
        <is>
          <t>Suitable for Realme Neo8 Mobile Phone Case, Magnetic Ultra-Thin Soft Case, Realme Thin Neo8 Protective Case, Tpu Full Cover</t>
        </is>
      </c>
      <c r="D39" s="6" t="inlineStr">
        <is>
          <t>TPU</t>
        </is>
      </c>
      <c r="E39" s="6" t="inlineStr">
        <is>
          <t>Transparent Black</t>
        </is>
      </c>
      <c r="F39" s="6" t="inlineStr">
        <is>
          <t>Realme Neo8</t>
        </is>
      </c>
      <c r="G39" s="6" t="inlineStr">
        <is>
          <t>No</t>
        </is>
      </c>
      <c r="H39" s="6" t="inlineStr">
        <is>
          <t>Link</t>
        </is>
      </c>
      <c r="I39" s="7" t="inlineStr">
        <is>
          <t>https://moveon.global/BD_en/products/0000000J0H1734SE-suitable-for-realme-neo8-mobile-phone-case-magnetic-ultra-thin-soft-case-realme-thin-neo8-protective-case-tpu-full-cover/1AD8318293575646</t>
        </is>
      </c>
      <c r="J39" s="7" t="inlineStr">
        <is>
          <t>Realme Neo8/TPU/sku/RN8-TPU-BK-M.jpg</t>
        </is>
      </c>
      <c r="K39" s="8" t="n">
        <v>133</v>
      </c>
      <c r="L39" s="8" t="n">
        <v>10</v>
      </c>
      <c r="M39" s="8" t="n">
        <v>50</v>
      </c>
      <c r="N39" s="8" t="n">
        <v>5</v>
      </c>
      <c r="O39" s="8" t="n">
        <v>11.5</v>
      </c>
      <c r="P39" s="8" t="n">
        <v>20</v>
      </c>
      <c r="Q39" s="8" t="n">
        <v>0</v>
      </c>
      <c r="R39" s="8">
        <f>SUM(K39:Q39)</f>
        <v/>
      </c>
      <c r="S39" s="8">
        <f>IF(R39&lt;300, R39*1.4, IF(R39&lt;400, R39*1.33, R39*1.25))</f>
        <v/>
      </c>
      <c r="T39" s="9">
        <f>INT(S39/100)*100 + IF(MOD(ROUND(S39,0),100)&lt;25, 0, IF(MOD(ROUND(S39,0),100)&lt;=74, 49, 99))</f>
        <v/>
      </c>
      <c r="U39" s="8">
        <f>IF(T39&lt;300, 0, MIN(99, IF(T39&lt;500, T39*7%, IF(T39&lt;700, T39*12%, T39*15%))))</f>
        <v/>
      </c>
    </row>
    <row r="40">
      <c r="A40" s="2" t="inlineStr">
        <is>
          <t>H600L-SIL-BK-M</t>
        </is>
      </c>
      <c r="B40" s="3" t="inlineStr">
        <is>
          <t>Magnetic Liquid Silicone Case for Honor 600 Lite – Moiré Texture Anti-Scratch Soft Protective Back Cover</t>
        </is>
      </c>
      <c r="C40" s="3" t="inlineStr">
        <is>
          <t>Suitable for Honor 600Lite Foreign Version Mobile Phone Case Protective Cover with Built-In Magnetic Suction, Lightweight, Fine Holes, and Hard Shell</t>
        </is>
      </c>
      <c r="D40" s="2" t="inlineStr">
        <is>
          <t>Silicone</t>
        </is>
      </c>
      <c r="E40" s="2" t="inlineStr">
        <is>
          <t>Moiré Black</t>
        </is>
      </c>
      <c r="F40" s="2" t="inlineStr">
        <is>
          <t>Honor 600 lite</t>
        </is>
      </c>
      <c r="G40" s="2" t="inlineStr">
        <is>
          <t>No</t>
        </is>
      </c>
      <c r="H40" s="2" t="inlineStr">
        <is>
          <t>Link</t>
        </is>
      </c>
      <c r="I40" s="3" t="inlineStr">
        <is>
          <t>https://moveon.global/BD_en/products/0000000DCI2M1DIF-suitable-for-honor-600lite-foreign-version-mobile-phone-case-protective-cover-with-built-in-magnetic-suction-lightweight-fine-holes-and-hard-shell/1AD8320205925874</t>
        </is>
      </c>
      <c r="J40" s="3" t="inlineStr">
        <is>
          <t>Honor 600 lite/Silicone/sku/H600L-SIL-BK-M.jpg</t>
        </is>
      </c>
      <c r="K40" s="4" t="n">
        <v>186.2</v>
      </c>
      <c r="L40" s="4" t="n">
        <v>10</v>
      </c>
      <c r="M40" s="4" t="n">
        <v>156</v>
      </c>
      <c r="N40" s="4" t="n">
        <v>5</v>
      </c>
      <c r="O40" s="4" t="n">
        <v>11.5</v>
      </c>
      <c r="P40" s="4" t="n">
        <v>20</v>
      </c>
      <c r="Q40" s="4" t="n">
        <v>0</v>
      </c>
      <c r="R40" s="4">
        <f>SUM(K40:Q40)</f>
        <v/>
      </c>
      <c r="S40" s="4">
        <f>IF(R40&lt;300, R40*1.4, IF(R40&lt;400, R40*1.33, R40*1.25))</f>
        <v/>
      </c>
      <c r="T40" s="5">
        <f>INT(S40/100)*100 + IF(MOD(ROUND(S40,0),100)&lt;25, 0, IF(MOD(ROUND(S40,0),100)&lt;=74, 49, 99))</f>
        <v/>
      </c>
      <c r="U40" s="4">
        <f>IF(T40&lt;300, 0, MIN(99, IF(T40&lt;500, T40*7%, IF(T40&lt;700, T40*12%, T40*15%))))</f>
        <v/>
      </c>
    </row>
    <row r="41">
      <c r="A41" s="6" t="inlineStr">
        <is>
          <t>H600L-SIL-BL-M</t>
        </is>
      </c>
      <c r="B41" s="7" t="inlineStr">
        <is>
          <t>Magnetic Liquid Silicone Case for Honor 600 Lite – Moiré Texture Anti-Scratch Soft Protective Back Cover</t>
        </is>
      </c>
      <c r="C41" s="7" t="inlineStr">
        <is>
          <t>Suitable for Honor 600Lite Foreign Version Mobile Phone Case Protective Cover with Built-In Magnetic Suction, Lightweight, Fine Holes, and Hard Shell</t>
        </is>
      </c>
      <c r="D41" s="6" t="inlineStr">
        <is>
          <t>Silicone</t>
        </is>
      </c>
      <c r="E41" s="6" t="inlineStr">
        <is>
          <t>Gentleman Blue</t>
        </is>
      </c>
      <c r="F41" s="6" t="inlineStr">
        <is>
          <t>Honor 600 lite</t>
        </is>
      </c>
      <c r="G41" s="6" t="inlineStr">
        <is>
          <t>No</t>
        </is>
      </c>
      <c r="H41" s="6" t="inlineStr">
        <is>
          <t>Link</t>
        </is>
      </c>
      <c r="I41" s="7" t="inlineStr">
        <is>
          <t>https://moveon.global/BD_en/products/0000000DCI2M1DIF-suitable-for-honor-600lite-foreign-version-mobile-phone-case-protective-cover-with-built-in-magnetic-suction-lightweight-fine-holes-and-hard-shell/1AD8320205925874</t>
        </is>
      </c>
      <c r="J41" s="7" t="inlineStr">
        <is>
          <t>Honor 600 lite/Silicone/sku/H600L-SIL-BL-M.jpg</t>
        </is>
      </c>
      <c r="K41" s="8" t="n">
        <v>186.2</v>
      </c>
      <c r="L41" s="8" t="n">
        <v>10</v>
      </c>
      <c r="M41" s="8" t="n">
        <v>156</v>
      </c>
      <c r="N41" s="8" t="n">
        <v>5</v>
      </c>
      <c r="O41" s="8" t="n">
        <v>11.5</v>
      </c>
      <c r="P41" s="8" t="n">
        <v>20</v>
      </c>
      <c r="Q41" s="8" t="n">
        <v>0</v>
      </c>
      <c r="R41" s="8">
        <f>SUM(K41:Q41)</f>
        <v/>
      </c>
      <c r="S41" s="8">
        <f>IF(R41&lt;300, R41*1.4, IF(R41&lt;400, R41*1.33, R41*1.25))</f>
        <v/>
      </c>
      <c r="T41" s="9">
        <f>INT(S41/100)*100 + IF(MOD(ROUND(S41,0),100)&lt;25, 0, IF(MOD(ROUND(S41,0),100)&lt;=74, 49, 99))</f>
        <v/>
      </c>
      <c r="U41" s="8">
        <f>IF(T41&lt;300, 0, MIN(99, IF(T41&lt;500, T41*7%, IF(T41&lt;700, T41*12%, T41*15%))))</f>
        <v/>
      </c>
    </row>
    <row r="42">
      <c r="A42" s="2" t="inlineStr">
        <is>
          <t>H600L-SIL-GN-M</t>
        </is>
      </c>
      <c r="B42" s="3" t="inlineStr">
        <is>
          <t>Magnetic Liquid Silicone Case for Honor 600 Lite – Moiré Texture Anti-Scratch Soft Protective Back Cover</t>
        </is>
      </c>
      <c r="C42" s="3" t="inlineStr">
        <is>
          <t>Suitable for Honor 600Lite Foreign Version Mobile Phone Case Protective Cover with Built-In Magnetic Suction, Lightweight, Fine Holes, and Hard Shell</t>
        </is>
      </c>
      <c r="D42" s="2" t="inlineStr">
        <is>
          <t>Silicone</t>
        </is>
      </c>
      <c r="E42" s="2" t="inlineStr">
        <is>
          <t>Dark Night Green</t>
        </is>
      </c>
      <c r="F42" s="2" t="inlineStr">
        <is>
          <t>Honor 600 lite</t>
        </is>
      </c>
      <c r="G42" s="2" t="inlineStr">
        <is>
          <t>No</t>
        </is>
      </c>
      <c r="H42" s="2" t="inlineStr">
        <is>
          <t>Link</t>
        </is>
      </c>
      <c r="I42" s="3" t="inlineStr">
        <is>
          <t>https://moveon.global/BD_en/products/0000000DCI2M1DIF-suitable-for-honor-600lite-foreign-version-mobile-phone-case-protective-cover-with-built-in-magnetic-suction-lightweight-fine-holes-and-hard-shell/1AD8320205925874</t>
        </is>
      </c>
      <c r="J42" s="3" t="inlineStr">
        <is>
          <t>Honor 600 lite/Silicone/sku/H600L-SIL-GN-M.jpg</t>
        </is>
      </c>
      <c r="K42" s="4" t="n">
        <v>186.2</v>
      </c>
      <c r="L42" s="4" t="n">
        <v>10</v>
      </c>
      <c r="M42" s="4" t="n">
        <v>156</v>
      </c>
      <c r="N42" s="4" t="n">
        <v>5</v>
      </c>
      <c r="O42" s="4" t="n">
        <v>11.5</v>
      </c>
      <c r="P42" s="4" t="n">
        <v>20</v>
      </c>
      <c r="Q42" s="4" t="n">
        <v>0</v>
      </c>
      <c r="R42" s="4">
        <f>SUM(K42:Q42)</f>
        <v/>
      </c>
      <c r="S42" s="4">
        <f>IF(R42&lt;300, R42*1.4, IF(R42&lt;400, R42*1.33, R42*1.25))</f>
        <v/>
      </c>
      <c r="T42" s="5">
        <f>INT(S42/100)*100 + IF(MOD(ROUND(S42,0),100)&lt;25, 0, IF(MOD(ROUND(S42,0),100)&lt;=74, 49, 99))</f>
        <v/>
      </c>
      <c r="U42" s="4">
        <f>IF(T42&lt;300, 0, MIN(99, IF(T42&lt;500, T42*7%, IF(T42&lt;700, T42*12%, T42*15%))))</f>
        <v/>
      </c>
    </row>
    <row r="43">
      <c r="A43" s="6" t="inlineStr">
        <is>
          <t>H600L-SIL-RD-M</t>
        </is>
      </c>
      <c r="B43" s="7" t="inlineStr">
        <is>
          <t>Magnetic Liquid Silicone Case for Honor 600 Lite – Moiré Texture Anti-Scratch Soft Protective Back Cover</t>
        </is>
      </c>
      <c r="C43" s="7" t="inlineStr">
        <is>
          <t>Suitable for Honor 600Lite Foreign Version Mobile Phone Case Protective Cover with Built-In Magnetic Suction, Lightweight, Fine Holes, and Hard Shell</t>
        </is>
      </c>
      <c r="D43" s="6" t="inlineStr">
        <is>
          <t>Silicone</t>
        </is>
      </c>
      <c r="E43" s="6" t="inlineStr">
        <is>
          <t>Charming Red</t>
        </is>
      </c>
      <c r="F43" s="6" t="inlineStr">
        <is>
          <t>Honor 600 lite</t>
        </is>
      </c>
      <c r="G43" s="6" t="inlineStr">
        <is>
          <t>No</t>
        </is>
      </c>
      <c r="H43" s="6" t="inlineStr">
        <is>
          <t>Link</t>
        </is>
      </c>
      <c r="I43" s="7" t="inlineStr">
        <is>
          <t>https://moveon.global/BD_en/products/0000000DCI2M1DIF-suitable-for-honor-600lite-foreign-version-mobile-phone-case-protective-cover-with-built-in-magnetic-suction-lightweight-fine-holes-and-hard-shell/1AD8320205925874</t>
        </is>
      </c>
      <c r="J43" s="7" t="inlineStr">
        <is>
          <t>Honor 600 lite/Silicone/sku/H600L-SIL-RD-M.jpg</t>
        </is>
      </c>
      <c r="K43" s="8" t="n">
        <v>186.2</v>
      </c>
      <c r="L43" s="8" t="n">
        <v>10</v>
      </c>
      <c r="M43" s="8" t="n">
        <v>156</v>
      </c>
      <c r="N43" s="8" t="n">
        <v>5</v>
      </c>
      <c r="O43" s="8" t="n">
        <v>11.5</v>
      </c>
      <c r="P43" s="8" t="n">
        <v>20</v>
      </c>
      <c r="Q43" s="8" t="n">
        <v>0</v>
      </c>
      <c r="R43" s="8">
        <f>SUM(K43:Q43)</f>
        <v/>
      </c>
      <c r="S43" s="8">
        <f>IF(R43&lt;300, R43*1.4, IF(R43&lt;400, R43*1.33, R43*1.25))</f>
        <v/>
      </c>
      <c r="T43" s="9">
        <f>INT(S43/100)*100 + IF(MOD(ROUND(S43,0),100)&lt;25, 0, IF(MOD(ROUND(S43,0),100)&lt;=74, 49, 99))</f>
        <v/>
      </c>
      <c r="U43" s="8">
        <f>IF(T43&lt;300, 0, MIN(99, IF(T43&lt;500, T43*7%, IF(T43&lt;700, T43*12%, T43*15%))))</f>
        <v/>
      </c>
    </row>
    <row r="44">
      <c r="A44" s="2" t="inlineStr">
        <is>
          <t>HX80I-TPU-SV-E</t>
        </is>
      </c>
      <c r="B44" s="3" t="inlineStr">
        <is>
          <t>Invisible Kickstand Airbag Shockproof Case for Honor X80i / X70 / X60 Pro – Clear Hybrid TPU Protective Back Cover</t>
        </is>
      </c>
      <c r="C44" s="3" t="inlineStr">
        <is>
          <t>Sangjieshi Suitable for Honor X80Promax Mobile Phone Case X70 with Stand X60Pro Transparent X50 Full-Cover Airbag</t>
        </is>
      </c>
      <c r="D44" s="2" t="inlineStr">
        <is>
          <t>TPU</t>
        </is>
      </c>
      <c r="E44" s="2" t="inlineStr">
        <is>
          <t>Silver</t>
        </is>
      </c>
      <c r="F44" s="2" t="inlineStr">
        <is>
          <t>Honor X80i</t>
        </is>
      </c>
      <c r="G44" s="2" t="inlineStr">
        <is>
          <t>No</t>
        </is>
      </c>
      <c r="H44" s="2" t="inlineStr">
        <is>
          <t>Link</t>
        </is>
      </c>
      <c r="I44" s="3" t="inlineStr">
        <is>
          <t>https://moveon.global/BD_en/products/0000000125WCGFR9-sangjieshi-suitable-for-honor-x80promax-mobile-phone-case-x70-with-stand-x60pro-transparent-x50-full-cover-airbag/1AD8341131122671</t>
        </is>
      </c>
      <c r="J44" s="3" t="inlineStr">
        <is>
          <t>Honor X80i/TPU/sku/HX80I-TPU-SV-E.jpg</t>
        </is>
      </c>
      <c r="K44" s="4" t="n">
        <v>234.08</v>
      </c>
      <c r="L44" s="4" t="n">
        <v>10</v>
      </c>
      <c r="M44" s="4" t="n">
        <v>50</v>
      </c>
      <c r="N44" s="4" t="n">
        <v>5</v>
      </c>
      <c r="O44" s="4" t="n">
        <v>11.5</v>
      </c>
      <c r="P44" s="4" t="n">
        <v>20</v>
      </c>
      <c r="Q44" s="4" t="n">
        <v>0</v>
      </c>
      <c r="R44" s="4">
        <f>SUM(K44:Q44)</f>
        <v/>
      </c>
      <c r="S44" s="4">
        <f>IF(R44&lt;300, R44*1.4, IF(R44&lt;400, R44*1.33, R44*1.25))</f>
        <v/>
      </c>
      <c r="T44" s="5">
        <f>INT(S44/100)*100 + IF(MOD(ROUND(S44,0),100)&lt;25, 0, IF(MOD(ROUND(S44,0),100)&lt;=74, 49, 99))</f>
        <v/>
      </c>
      <c r="U44" s="4">
        <f>IF(T44&lt;300, 0, MIN(99, IF(T44&lt;500, T44*7%, IF(T44&lt;700, T44*12%, T44*15%))))</f>
        <v/>
      </c>
    </row>
    <row r="45">
      <c r="A45" s="6" t="inlineStr">
        <is>
          <t>HX80I-TPU-BK-E</t>
        </is>
      </c>
      <c r="B45" s="7" t="inlineStr">
        <is>
          <t>Invisible Kickstand Airbag Shockproof Case for Honor X80i / X70 / X60 Pro – Clear Hybrid TPU Protective Back Cover</t>
        </is>
      </c>
      <c r="C45" s="7" t="inlineStr">
        <is>
          <t>Sangjieshi Suitable for Honor X80Promax Mobile Phone Case X70 with Stand X60Pro Transparent X50 Full-Cover Airbag</t>
        </is>
      </c>
      <c r="D45" s="6" t="inlineStr">
        <is>
          <t>TPU</t>
        </is>
      </c>
      <c r="E45" s="6" t="inlineStr">
        <is>
          <t>Black</t>
        </is>
      </c>
      <c r="F45" s="6" t="inlineStr">
        <is>
          <t>Honor X80i</t>
        </is>
      </c>
      <c r="G45" s="6" t="inlineStr">
        <is>
          <t>No</t>
        </is>
      </c>
      <c r="H45" s="6" t="inlineStr">
        <is>
          <t>Link</t>
        </is>
      </c>
      <c r="I45" s="7" t="inlineStr">
        <is>
          <t>https://moveon.global/BD_en/products/0000000125WCGFR9-sangjieshi-suitable-for-honor-x80promax-mobile-phone-case-x70-with-stand-x60pro-transparent-x50-full-cover-airbag/1AD8341131122671</t>
        </is>
      </c>
      <c r="J45" s="7" t="inlineStr">
        <is>
          <t>Honor X80i/TPU/sku/HX80I-TPU-BK-E.jpg</t>
        </is>
      </c>
      <c r="K45" s="8" t="n">
        <v>234.08</v>
      </c>
      <c r="L45" s="8" t="n">
        <v>10</v>
      </c>
      <c r="M45" s="8" t="n">
        <v>50</v>
      </c>
      <c r="N45" s="8" t="n">
        <v>5</v>
      </c>
      <c r="O45" s="8" t="n">
        <v>11.5</v>
      </c>
      <c r="P45" s="8" t="n">
        <v>20</v>
      </c>
      <c r="Q45" s="8" t="n">
        <v>0</v>
      </c>
      <c r="R45" s="8">
        <f>SUM(K45:Q45)</f>
        <v/>
      </c>
      <c r="S45" s="8">
        <f>IF(R45&lt;300, R45*1.4, IF(R45&lt;400, R45*1.33, R45*1.25))</f>
        <v/>
      </c>
      <c r="T45" s="9">
        <f>INT(S45/100)*100 + IF(MOD(ROUND(S45,0),100)&lt;25, 0, IF(MOD(ROUND(S45,0),100)&lt;=74, 49, 99))</f>
        <v/>
      </c>
      <c r="U45" s="8">
        <f>IF(T45&lt;300, 0, MIN(99, IF(T45&lt;500, T45*7%, IF(T45&lt;700, T45*12%, T45*15%))))</f>
        <v/>
      </c>
    </row>
    <row r="46">
      <c r="A46" s="2" t="inlineStr">
        <is>
          <t>HX80I-TPU-PR-E</t>
        </is>
      </c>
      <c r="B46" s="3" t="inlineStr">
        <is>
          <t>Invisible Kickstand Airbag Shockproof Case for Honor X80i / X70 / X60 Pro – Clear Hybrid TPU Protective Back Cover</t>
        </is>
      </c>
      <c r="C46" s="3" t="inlineStr">
        <is>
          <t>Sangjieshi Suitable for Honor X80Promax Mobile Phone Case X70 with Stand X60Pro Transparent X50 Full-Cover Airbag</t>
        </is>
      </c>
      <c r="D46" s="2" t="inlineStr">
        <is>
          <t>TPU</t>
        </is>
      </c>
      <c r="E46" s="2" t="inlineStr">
        <is>
          <t>Purple</t>
        </is>
      </c>
      <c r="F46" s="2" t="inlineStr">
        <is>
          <t>Honor X80i</t>
        </is>
      </c>
      <c r="G46" s="2" t="inlineStr">
        <is>
          <t>No</t>
        </is>
      </c>
      <c r="H46" s="2" t="inlineStr">
        <is>
          <t>Link</t>
        </is>
      </c>
      <c r="I46" s="3" t="inlineStr">
        <is>
          <t>https://moveon.global/BD_en/products/0000000125WCGFR9-sangjieshi-suitable-for-honor-x80promax-mobile-phone-case-x70-with-stand-x60pro-transparent-x50-full-cover-airbag/1AD8341131122671</t>
        </is>
      </c>
      <c r="J46" s="3" t="inlineStr">
        <is>
          <t>Honor X80i/TPU/sku/HX80I-TPU-PR-E.jpg</t>
        </is>
      </c>
      <c r="K46" s="4" t="n">
        <v>234.08</v>
      </c>
      <c r="L46" s="4" t="n">
        <v>10</v>
      </c>
      <c r="M46" s="4" t="n">
        <v>50</v>
      </c>
      <c r="N46" s="4" t="n">
        <v>5</v>
      </c>
      <c r="O46" s="4" t="n">
        <v>11.5</v>
      </c>
      <c r="P46" s="4" t="n">
        <v>20</v>
      </c>
      <c r="Q46" s="4" t="n">
        <v>0</v>
      </c>
      <c r="R46" s="4">
        <f>SUM(K46:Q46)</f>
        <v/>
      </c>
      <c r="S46" s="4">
        <f>IF(R46&lt;300, R46*1.4, IF(R46&lt;400, R46*1.33, R46*1.25))</f>
        <v/>
      </c>
      <c r="T46" s="5">
        <f>INT(S46/100)*100 + IF(MOD(ROUND(S46,0),100)&lt;25, 0, IF(MOD(ROUND(S46,0),100)&lt;=74, 49, 99))</f>
        <v/>
      </c>
      <c r="U46" s="4">
        <f>IF(T46&lt;300, 0, MIN(99, IF(T46&lt;500, T46*7%, IF(T46&lt;700, T46*12%, T46*15%))))</f>
        <v/>
      </c>
    </row>
    <row r="47">
      <c r="A47" s="6" t="inlineStr">
        <is>
          <t>HX80I-TPU-BL-E</t>
        </is>
      </c>
      <c r="B47" s="7" t="inlineStr">
        <is>
          <t>Invisible Kickstand Airbag Shockproof Case for Honor X80i / X70 / X60 Pro – Clear Hybrid TPU Protective Back Cover</t>
        </is>
      </c>
      <c r="C47" s="7" t="inlineStr">
        <is>
          <t>Sangjieshi Suitable for Honor X80Promax Mobile Phone Case X70 with Stand X60Pro Transparent X50 Full-Cover Airbag</t>
        </is>
      </c>
      <c r="D47" s="6" t="inlineStr">
        <is>
          <t>TPU</t>
        </is>
      </c>
      <c r="E47" s="6" t="inlineStr">
        <is>
          <t>Blue</t>
        </is>
      </c>
      <c r="F47" s="6" t="inlineStr">
        <is>
          <t>Honor X80i</t>
        </is>
      </c>
      <c r="G47" s="6" t="inlineStr">
        <is>
          <t>No</t>
        </is>
      </c>
      <c r="H47" s="6" t="inlineStr">
        <is>
          <t>Link</t>
        </is>
      </c>
      <c r="I47" s="7" t="inlineStr">
        <is>
          <t>https://moveon.global/BD_en/products/0000000125WCGFR9-sangjieshi-suitable-for-honor-x80promax-mobile-phone-case-x70-with-stand-x60pro-transparent-x50-full-cover-airbag/1AD8341131122671</t>
        </is>
      </c>
      <c r="J47" s="7" t="inlineStr">
        <is>
          <t>Honor X80i/TPU/sku/HX80I-TPU-BL-E.jpg</t>
        </is>
      </c>
      <c r="K47" s="8" t="n">
        <v>234.08</v>
      </c>
      <c r="L47" s="8" t="n">
        <v>10</v>
      </c>
      <c r="M47" s="8" t="n">
        <v>50</v>
      </c>
      <c r="N47" s="8" t="n">
        <v>5</v>
      </c>
      <c r="O47" s="8" t="n">
        <v>11.5</v>
      </c>
      <c r="P47" s="8" t="n">
        <v>20</v>
      </c>
      <c r="Q47" s="8" t="n">
        <v>0</v>
      </c>
      <c r="R47" s="8">
        <f>SUM(K47:Q47)</f>
        <v/>
      </c>
      <c r="S47" s="8">
        <f>IF(R47&lt;300, R47*1.4, IF(R47&lt;400, R47*1.33, R47*1.25))</f>
        <v/>
      </c>
      <c r="T47" s="9">
        <f>INT(S47/100)*100 + IF(MOD(ROUND(S47,0),100)&lt;25, 0, IF(MOD(ROUND(S47,0),100)&lt;=74, 49, 99))</f>
        <v/>
      </c>
      <c r="U47" s="8">
        <f>IF(T47&lt;300, 0, MIN(99, IF(T47&lt;500, T47*7%, IF(T47&lt;700, T47*12%, T47*15%))))</f>
        <v/>
      </c>
    </row>
    <row r="48">
      <c r="A48" s="2" t="inlineStr">
        <is>
          <t>HX80I-TPU-PK-E</t>
        </is>
      </c>
      <c r="B48" s="3" t="inlineStr">
        <is>
          <t>Invisible Kickstand Airbag Shockproof Case for Honor X80i / X70 / X60 Pro – Clear Hybrid TPU Protective Back Cover</t>
        </is>
      </c>
      <c r="C48" s="3" t="inlineStr">
        <is>
          <t>Sangjieshi Suitable for Honor X80Promax Mobile Phone Case X70 with Stand X60Pro Transparent X50 Full-Cover Airbag</t>
        </is>
      </c>
      <c r="D48" s="2" t="inlineStr">
        <is>
          <t>TPU</t>
        </is>
      </c>
      <c r="E48" s="2" t="inlineStr">
        <is>
          <t>Pink</t>
        </is>
      </c>
      <c r="F48" s="2" t="inlineStr">
        <is>
          <t>Honor X80i</t>
        </is>
      </c>
      <c r="G48" s="2" t="inlineStr">
        <is>
          <t>No</t>
        </is>
      </c>
      <c r="H48" s="2" t="inlineStr">
        <is>
          <t>Link</t>
        </is>
      </c>
      <c r="I48" s="3" t="inlineStr">
        <is>
          <t>https://moveon.global/BD_en/products/0000000125WCGFR9-sangjieshi-suitable-for-honor-x80promax-mobile-phone-case-x70-with-stand-x60pro-transparent-x50-full-cover-airbag/1AD8341131122671</t>
        </is>
      </c>
      <c r="J48" s="3" t="inlineStr">
        <is>
          <t>Honor X80i/TPU/sku/HX80I-TPU-PK-E.jpg</t>
        </is>
      </c>
      <c r="K48" s="4" t="n">
        <v>234.08</v>
      </c>
      <c r="L48" s="4" t="n">
        <v>10</v>
      </c>
      <c r="M48" s="4" t="n">
        <v>50</v>
      </c>
      <c r="N48" s="4" t="n">
        <v>5</v>
      </c>
      <c r="O48" s="4" t="n">
        <v>11.5</v>
      </c>
      <c r="P48" s="4" t="n">
        <v>20</v>
      </c>
      <c r="Q48" s="4" t="n">
        <v>0</v>
      </c>
      <c r="R48" s="4">
        <f>SUM(K48:Q48)</f>
        <v/>
      </c>
      <c r="S48" s="4">
        <f>IF(R48&lt;300, R48*1.4, IF(R48&lt;400, R48*1.33, R48*1.25))</f>
        <v/>
      </c>
      <c r="T48" s="5">
        <f>INT(S48/100)*100 + IF(MOD(ROUND(S48,0),100)&lt;25, 0, IF(MOD(ROUND(S48,0),100)&lt;=74, 49, 99))</f>
        <v/>
      </c>
      <c r="U48" s="4">
        <f>IF(T48&lt;300, 0, MIN(99, IF(T48&lt;500, T48*7%, IF(T48&lt;700, T48*12%, T48*15%))))</f>
        <v/>
      </c>
    </row>
    <row r="49">
      <c r="A49" s="6" t="inlineStr">
        <is>
          <t>HX80I-TPU-GN-E</t>
        </is>
      </c>
      <c r="B49" s="7" t="inlineStr">
        <is>
          <t>Invisible Kickstand Airbag Shockproof Case for Honor X80i / X70 / X60 Pro – Clear Hybrid TPU Protective Back Cover</t>
        </is>
      </c>
      <c r="C49" s="7" t="inlineStr">
        <is>
          <t>Sangjieshi Suitable for Honor X80Promax Mobile Phone Case X70 with Stand X60Pro Transparent X50 Full-Cover Airbag</t>
        </is>
      </c>
      <c r="D49" s="6" t="inlineStr">
        <is>
          <t>TPU</t>
        </is>
      </c>
      <c r="E49" s="6" t="inlineStr">
        <is>
          <t>Green</t>
        </is>
      </c>
      <c r="F49" s="6" t="inlineStr">
        <is>
          <t>Honor X80i</t>
        </is>
      </c>
      <c r="G49" s="6" t="inlineStr">
        <is>
          <t>No</t>
        </is>
      </c>
      <c r="H49" s="6" t="inlineStr">
        <is>
          <t>Link</t>
        </is>
      </c>
      <c r="I49" s="7" t="inlineStr">
        <is>
          <t>https://moveon.global/BD_en/products/0000000125WCGFR9-sangjieshi-suitable-for-honor-x80promax-mobile-phone-case-x70-with-stand-x60pro-transparent-x50-full-cover-airbag/1AD8341131122671</t>
        </is>
      </c>
      <c r="J49" s="7" t="inlineStr">
        <is>
          <t>Honor X80i/TPU/sku/HX80I-TPU-GN-E.jpg</t>
        </is>
      </c>
      <c r="K49" s="8" t="n">
        <v>234.08</v>
      </c>
      <c r="L49" s="8" t="n">
        <v>10</v>
      </c>
      <c r="M49" s="8" t="n">
        <v>50</v>
      </c>
      <c r="N49" s="8" t="n">
        <v>5</v>
      </c>
      <c r="O49" s="8" t="n">
        <v>11.5</v>
      </c>
      <c r="P49" s="8" t="n">
        <v>20</v>
      </c>
      <c r="Q49" s="8" t="n">
        <v>0</v>
      </c>
      <c r="R49" s="8">
        <f>SUM(K49:Q49)</f>
        <v/>
      </c>
      <c r="S49" s="8">
        <f>IF(R49&lt;300, R49*1.4, IF(R49&lt;400, R49*1.33, R49*1.25))</f>
        <v/>
      </c>
      <c r="T49" s="9">
        <f>INT(S49/100)*100 + IF(MOD(ROUND(S49,0),100)&lt;25, 0, IF(MOD(ROUND(S49,0),100)&lt;=74, 49, 99))</f>
        <v/>
      </c>
      <c r="U49" s="8">
        <f>IF(T49&lt;300, 0, MIN(99, IF(T49&lt;500, T49*7%, IF(T49&lt;700, T49*12%, T49*15%))))</f>
        <v/>
      </c>
    </row>
    <row r="50">
      <c r="A50" s="2" t="inlineStr">
        <is>
          <t>HX80I-PC-GY-M</t>
        </is>
      </c>
      <c r="B50" s="3" t="inlineStr">
        <is>
          <t>Micro-Matte Magnetic Shockproof Case for Honor 600 Lite / Honor X80i – Ultra-Slim Hard Protective Back Cover</t>
        </is>
      </c>
      <c r="C50" s="3" t="inlineStr">
        <is>
          <t>Suitable for Huawei Honor X80I Mobile Phone Case, Honor 600Lite Micro-Matte Magnetic Protective Cover, All-Inclusive Anti-Fall Cover</t>
        </is>
      </c>
      <c r="D50" s="2" t="inlineStr">
        <is>
          <t>Hard PC</t>
        </is>
      </c>
      <c r="E50" s="2" t="inlineStr">
        <is>
          <t>Titanium Gray</t>
        </is>
      </c>
      <c r="F50" s="2" t="inlineStr">
        <is>
          <t>Honor x80i</t>
        </is>
      </c>
      <c r="G50" s="2" t="inlineStr">
        <is>
          <t>No</t>
        </is>
      </c>
      <c r="H50" s="2" t="inlineStr">
        <is>
          <t>Link</t>
        </is>
      </c>
      <c r="I50" s="3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J50" s="3" t="inlineStr">
        <is>
          <t>Honor x80i/Hard PC/sku/HX80I-PC-GY-M.jpg</t>
        </is>
      </c>
      <c r="K50" s="4" t="n">
        <v>478.8</v>
      </c>
      <c r="L50" s="4" t="n">
        <v>10</v>
      </c>
      <c r="M50" s="4" t="n">
        <v>50</v>
      </c>
      <c r="N50" s="4" t="n">
        <v>5</v>
      </c>
      <c r="O50" s="4" t="n">
        <v>11.5</v>
      </c>
      <c r="P50" s="4" t="n">
        <v>20</v>
      </c>
      <c r="Q50" s="4" t="n">
        <v>0</v>
      </c>
      <c r="R50" s="4">
        <f>SUM(K50:Q50)</f>
        <v/>
      </c>
      <c r="S50" s="4">
        <f>IF(R50&lt;300, R50*1.4, IF(R50&lt;400, R50*1.33, R50*1.25))</f>
        <v/>
      </c>
      <c r="T50" s="5">
        <f>INT(S50/100)*100 + IF(MOD(ROUND(S50,0),100)&lt;25, 0, IF(MOD(ROUND(S50,0),100)&lt;=74, 49, 99))</f>
        <v/>
      </c>
      <c r="U50" s="4">
        <f>IF(T50&lt;300, 0, MIN(99, IF(T50&lt;500, T50*7%, IF(T50&lt;700, T50*12%, T50*15%))))</f>
        <v/>
      </c>
    </row>
    <row r="51">
      <c r="A51" s="6" t="inlineStr">
        <is>
          <t>HX80I-PC-WT-M</t>
        </is>
      </c>
      <c r="B51" s="7" t="inlineStr">
        <is>
          <t>Micro-Matte Magnetic Shockproof Case for Honor 600 Lite / Honor X80i – Ultra-Slim Hard Protective Back Cover</t>
        </is>
      </c>
      <c r="C51" s="7" t="inlineStr">
        <is>
          <t>Suitable for Huawei Honor X80I Mobile Phone Case, Honor 600Lite Micro-Matte Magnetic Protective Cover, All-Inclusive Anti-Fall Cover</t>
        </is>
      </c>
      <c r="D51" s="6" t="inlineStr">
        <is>
          <t>Hard PC</t>
        </is>
      </c>
      <c r="E51" s="6" t="inlineStr">
        <is>
          <t>Silver White</t>
        </is>
      </c>
      <c r="F51" s="6" t="inlineStr">
        <is>
          <t>Honor x80i</t>
        </is>
      </c>
      <c r="G51" s="6" t="inlineStr">
        <is>
          <t>No</t>
        </is>
      </c>
      <c r="H51" s="6" t="inlineStr">
        <is>
          <t>Link</t>
        </is>
      </c>
      <c r="I51" s="7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J51" s="7" t="inlineStr">
        <is>
          <t>Honor x80i/Hard PC/sku/HX80I-PC-WT-M.jpg</t>
        </is>
      </c>
      <c r="K51" s="8" t="n">
        <v>478.8</v>
      </c>
      <c r="L51" s="8" t="n">
        <v>10</v>
      </c>
      <c r="M51" s="8" t="n">
        <v>50</v>
      </c>
      <c r="N51" s="8" t="n">
        <v>5</v>
      </c>
      <c r="O51" s="8" t="n">
        <v>11.5</v>
      </c>
      <c r="P51" s="8" t="n">
        <v>20</v>
      </c>
      <c r="Q51" s="8" t="n">
        <v>0</v>
      </c>
      <c r="R51" s="8">
        <f>SUM(K51:Q51)</f>
        <v/>
      </c>
      <c r="S51" s="8">
        <f>IF(R51&lt;300, R51*1.4, IF(R51&lt;400, R51*1.33, R51*1.25))</f>
        <v/>
      </c>
      <c r="T51" s="9">
        <f>INT(S51/100)*100 + IF(MOD(ROUND(S51,0),100)&lt;25, 0, IF(MOD(ROUND(S51,0),100)&lt;=74, 49, 99))</f>
        <v/>
      </c>
      <c r="U51" s="8">
        <f>IF(T51&lt;300, 0, MIN(99, IF(T51&lt;500, T51*7%, IF(T51&lt;700, T51*12%, T51*15%))))</f>
        <v/>
      </c>
    </row>
    <row r="52">
      <c r="A52" s="2" t="inlineStr">
        <is>
          <t>HX80I-PC-GN-M</t>
        </is>
      </c>
      <c r="B52" s="3" t="inlineStr">
        <is>
          <t>Micro-Matte Magnetic Shockproof Case for Honor 600 Lite / Honor X80i – Ultra-Slim Hard Protective Back Cover</t>
        </is>
      </c>
      <c r="C52" s="3" t="inlineStr">
        <is>
          <t>Suitable for Huawei Honor X80I Mobile Phone Case, Honor 600Lite Micro-Matte Magnetic Protective Cover, All-Inclusive Anti-Fall Cover</t>
        </is>
      </c>
      <c r="D52" s="2" t="inlineStr">
        <is>
          <t>Hard PC</t>
        </is>
      </c>
      <c r="E52" s="2" t="inlineStr">
        <is>
          <t>Feitianqing</t>
        </is>
      </c>
      <c r="F52" s="2" t="inlineStr">
        <is>
          <t>Honor x80i</t>
        </is>
      </c>
      <c r="G52" s="2" t="inlineStr">
        <is>
          <t>No</t>
        </is>
      </c>
      <c r="H52" s="2" t="inlineStr">
        <is>
          <t>Link</t>
        </is>
      </c>
      <c r="I52" s="3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J52" s="3" t="inlineStr">
        <is>
          <t>Honor x80i/Hard PC/sku/HX80I-PC-GN-M.jpg</t>
        </is>
      </c>
      <c r="K52" s="4" t="n">
        <v>478.8</v>
      </c>
      <c r="L52" s="4" t="n">
        <v>10</v>
      </c>
      <c r="M52" s="4" t="n">
        <v>50</v>
      </c>
      <c r="N52" s="4" t="n">
        <v>5</v>
      </c>
      <c r="O52" s="4" t="n">
        <v>11.5</v>
      </c>
      <c r="P52" s="4" t="n">
        <v>20</v>
      </c>
      <c r="Q52" s="4" t="n">
        <v>0</v>
      </c>
      <c r="R52" s="4">
        <f>SUM(K52:Q52)</f>
        <v/>
      </c>
      <c r="S52" s="4">
        <f>IF(R52&lt;300, R52*1.4, IF(R52&lt;400, R52*1.33, R52*1.25))</f>
        <v/>
      </c>
      <c r="T52" s="5">
        <f>INT(S52/100)*100 + IF(MOD(ROUND(S52,0),100)&lt;25, 0, IF(MOD(ROUND(S52,0),100)&lt;=74, 49, 99))</f>
        <v/>
      </c>
      <c r="U52" s="4">
        <f>IF(T52&lt;300, 0, MIN(99, IF(T52&lt;500, T52*7%, IF(T52&lt;700, T52*12%, T52*15%))))</f>
        <v/>
      </c>
    </row>
    <row r="53">
      <c r="A53" s="6" t="inlineStr">
        <is>
          <t>HX80I-PC-GD-M</t>
        </is>
      </c>
      <c r="B53" s="7" t="inlineStr">
        <is>
          <t>Micro-Matte Magnetic Shockproof Case for Honor 600 Lite / Honor X80i – Ultra-Slim Hard Protective Back Cover</t>
        </is>
      </c>
      <c r="C53" s="7" t="inlineStr">
        <is>
          <t>Suitable for Huawei Honor X80I Mobile Phone Case, Honor 600Lite Micro-Matte Magnetic Protective Cover, All-Inclusive Anti-Fall Cover</t>
        </is>
      </c>
      <c r="D53" s="6" t="inlineStr">
        <is>
          <t>Hard PC</t>
        </is>
      </c>
      <c r="E53" s="6" t="inlineStr">
        <is>
          <t>Desert Gold</t>
        </is>
      </c>
      <c r="F53" s="6" t="inlineStr">
        <is>
          <t>Honor x80i</t>
        </is>
      </c>
      <c r="G53" s="6" t="inlineStr">
        <is>
          <t>No</t>
        </is>
      </c>
      <c r="H53" s="6" t="inlineStr">
        <is>
          <t>Link</t>
        </is>
      </c>
      <c r="I53" s="7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J53" s="7" t="inlineStr">
        <is>
          <t>Honor x80i/Hard PC/sku/HX80I-PC-GD-M.jpg</t>
        </is>
      </c>
      <c r="K53" s="8" t="n">
        <v>478.8</v>
      </c>
      <c r="L53" s="8" t="n">
        <v>10</v>
      </c>
      <c r="M53" s="8" t="n">
        <v>50</v>
      </c>
      <c r="N53" s="8" t="n">
        <v>5</v>
      </c>
      <c r="O53" s="8" t="n">
        <v>11.5</v>
      </c>
      <c r="P53" s="8" t="n">
        <v>20</v>
      </c>
      <c r="Q53" s="8" t="n">
        <v>0</v>
      </c>
      <c r="R53" s="8">
        <f>SUM(K53:Q53)</f>
        <v/>
      </c>
      <c r="S53" s="8">
        <f>IF(R53&lt;300, R53*1.4, IF(R53&lt;400, R53*1.33, R53*1.25))</f>
        <v/>
      </c>
      <c r="T53" s="9">
        <f>INT(S53/100)*100 + IF(MOD(ROUND(S53,0),100)&lt;25, 0, IF(MOD(ROUND(S53,0),100)&lt;=74, 49, 99))</f>
        <v/>
      </c>
      <c r="U53" s="8">
        <f>IF(T53&lt;300, 0, MIN(99, IF(T53&lt;500, T53*7%, IF(T53&lt;700, T53*12%, T53*15%))))</f>
        <v/>
      </c>
    </row>
    <row r="54">
      <c r="A54" s="2" t="inlineStr">
        <is>
          <t>HX80I-PC-BK-M</t>
        </is>
      </c>
      <c r="B54" s="3" t="inlineStr">
        <is>
          <t>Micro-Matte Magnetic Shockproof Case for Honor 600 Lite / Honor X80i – Ultra-Slim Hard Protective Back Cover</t>
        </is>
      </c>
      <c r="C54" s="3" t="inlineStr">
        <is>
          <t>Suitable for Huawei Honor X80I Mobile Phone Case, Honor 600Lite Micro-Matte Magnetic Protective Cover, All-Inclusive Anti-Fall Cover</t>
        </is>
      </c>
      <c r="D54" s="2" t="inlineStr">
        <is>
          <t>Hard PC</t>
        </is>
      </c>
      <c r="E54" s="2" t="inlineStr">
        <is>
          <t>Graphite Black</t>
        </is>
      </c>
      <c r="F54" s="2" t="inlineStr">
        <is>
          <t>Honor x80i</t>
        </is>
      </c>
      <c r="G54" s="2" t="inlineStr">
        <is>
          <t>No</t>
        </is>
      </c>
      <c r="H54" s="2" t="inlineStr">
        <is>
          <t>Link</t>
        </is>
      </c>
      <c r="I54" s="3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J54" s="3" t="inlineStr">
        <is>
          <t>Honor x80i/Hard PC/sku/HX80I-PC-BK-M.jpg</t>
        </is>
      </c>
      <c r="K54" s="4" t="n">
        <v>478.8</v>
      </c>
      <c r="L54" s="4" t="n">
        <v>10</v>
      </c>
      <c r="M54" s="4" t="n">
        <v>50</v>
      </c>
      <c r="N54" s="4" t="n">
        <v>5</v>
      </c>
      <c r="O54" s="4" t="n">
        <v>11.5</v>
      </c>
      <c r="P54" s="4" t="n">
        <v>20</v>
      </c>
      <c r="Q54" s="4" t="n">
        <v>0</v>
      </c>
      <c r="R54" s="4">
        <f>SUM(K54:Q54)</f>
        <v/>
      </c>
      <c r="S54" s="4">
        <f>IF(R54&lt;300, R54*1.4, IF(R54&lt;400, R54*1.33, R54*1.25))</f>
        <v/>
      </c>
      <c r="T54" s="5">
        <f>INT(S54/100)*100 + IF(MOD(ROUND(S54,0),100)&lt;25, 0, IF(MOD(ROUND(S54,0),100)&lt;=74, 49, 99))</f>
        <v/>
      </c>
      <c r="U54" s="4">
        <f>IF(T54&lt;300, 0, MIN(99, IF(T54&lt;500, T54*7%, IF(T54&lt;700, T54*12%, T54*15%))))</f>
        <v/>
      </c>
    </row>
    <row r="55">
      <c r="A55" s="6" t="inlineStr">
        <is>
          <t>H600L-PC-GY-M</t>
        </is>
      </c>
      <c r="B55" s="7" t="inlineStr">
        <is>
          <t>Micro-Matte Magnetic Shockproof Case for Honor 600 Lite / Honor X80i – Ultra-Slim Hard Protective Back Cover</t>
        </is>
      </c>
      <c r="C55" s="7" t="inlineStr">
        <is>
          <t>Suitable for Huawei Honor X80I Mobile Phone Case, Honor 600Lite Micro-Matte Magnetic Protective Cover, All-Inclusive Anti-Fall Cover</t>
        </is>
      </c>
      <c r="D55" s="6" t="inlineStr">
        <is>
          <t>Hard PC</t>
        </is>
      </c>
      <c r="E55" s="6" t="inlineStr">
        <is>
          <t>Titanium Gray</t>
        </is>
      </c>
      <c r="F55" s="6" t="inlineStr">
        <is>
          <t>Honor 600lite foreign version</t>
        </is>
      </c>
      <c r="G55" s="6" t="inlineStr">
        <is>
          <t>No</t>
        </is>
      </c>
      <c r="H55" s="6" t="inlineStr">
        <is>
          <t>Link</t>
        </is>
      </c>
      <c r="I55" s="7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J55" s="7" t="inlineStr">
        <is>
          <t>Honor 600lite foreign version/Hard PC/sku/H600L-PC-GY-M.jpg</t>
        </is>
      </c>
      <c r="K55" s="8" t="n">
        <v>478.8</v>
      </c>
      <c r="L55" s="8" t="n">
        <v>10</v>
      </c>
      <c r="M55" s="8" t="n">
        <v>50</v>
      </c>
      <c r="N55" s="8" t="n">
        <v>5</v>
      </c>
      <c r="O55" s="8" t="n">
        <v>11.5</v>
      </c>
      <c r="P55" s="8" t="n">
        <v>20</v>
      </c>
      <c r="Q55" s="8" t="n">
        <v>0</v>
      </c>
      <c r="R55" s="8">
        <f>SUM(K55:Q55)</f>
        <v/>
      </c>
      <c r="S55" s="8">
        <f>IF(R55&lt;300, R55*1.4, IF(R55&lt;400, R55*1.33, R55*1.25))</f>
        <v/>
      </c>
      <c r="T55" s="9">
        <f>INT(S55/100)*100 + IF(MOD(ROUND(S55,0),100)&lt;25, 0, IF(MOD(ROUND(S55,0),100)&lt;=74, 49, 99))</f>
        <v/>
      </c>
      <c r="U55" s="8">
        <f>IF(T55&lt;300, 0, MIN(99, IF(T55&lt;500, T55*7%, IF(T55&lt;700, T55*12%, T55*15%))))</f>
        <v/>
      </c>
    </row>
    <row r="56">
      <c r="A56" s="2" t="inlineStr">
        <is>
          <t>H600L-PC-WT-M</t>
        </is>
      </c>
      <c r="B56" s="3" t="inlineStr">
        <is>
          <t>Micro-Matte Magnetic Shockproof Case for Honor 600 Lite / Honor X80i – Ultra-Slim Hard Protective Back Cover</t>
        </is>
      </c>
      <c r="C56" s="3" t="inlineStr">
        <is>
          <t>Suitable for Huawei Honor X80I Mobile Phone Case, Honor 600Lite Micro-Matte Magnetic Protective Cover, All-Inclusive Anti-Fall Cover</t>
        </is>
      </c>
      <c r="D56" s="2" t="inlineStr">
        <is>
          <t>Hard PC</t>
        </is>
      </c>
      <c r="E56" s="2" t="inlineStr">
        <is>
          <t>Silver White</t>
        </is>
      </c>
      <c r="F56" s="2" t="inlineStr">
        <is>
          <t>Honor 600lite foreign version</t>
        </is>
      </c>
      <c r="G56" s="2" t="inlineStr">
        <is>
          <t>No</t>
        </is>
      </c>
      <c r="H56" s="2" t="inlineStr">
        <is>
          <t>Link</t>
        </is>
      </c>
      <c r="I56" s="3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J56" s="3" t="inlineStr">
        <is>
          <t>Honor 600lite foreign version/Hard PC/sku/H600L-PC-WT-M.jpg</t>
        </is>
      </c>
      <c r="K56" s="4" t="n">
        <v>478.8</v>
      </c>
      <c r="L56" s="4" t="n">
        <v>10</v>
      </c>
      <c r="M56" s="4" t="n">
        <v>50</v>
      </c>
      <c r="N56" s="4" t="n">
        <v>5</v>
      </c>
      <c r="O56" s="4" t="n">
        <v>11.5</v>
      </c>
      <c r="P56" s="4" t="n">
        <v>20</v>
      </c>
      <c r="Q56" s="4" t="n">
        <v>0</v>
      </c>
      <c r="R56" s="4">
        <f>SUM(K56:Q56)</f>
        <v/>
      </c>
      <c r="S56" s="4">
        <f>IF(R56&lt;300, R56*1.4, IF(R56&lt;400, R56*1.33, R56*1.25))</f>
        <v/>
      </c>
      <c r="T56" s="5">
        <f>INT(S56/100)*100 + IF(MOD(ROUND(S56,0),100)&lt;25, 0, IF(MOD(ROUND(S56,0),100)&lt;=74, 49, 99))</f>
        <v/>
      </c>
      <c r="U56" s="4">
        <f>IF(T56&lt;300, 0, MIN(99, IF(T56&lt;500, T56*7%, IF(T56&lt;700, T56*12%, T56*15%))))</f>
        <v/>
      </c>
    </row>
    <row r="57">
      <c r="A57" s="6" t="inlineStr">
        <is>
          <t>H600L-PC-GN-M</t>
        </is>
      </c>
      <c r="B57" s="7" t="inlineStr">
        <is>
          <t>Micro-Matte Magnetic Shockproof Case for Honor 600 Lite / Honor X80i – Ultra-Slim Hard Protective Back Cover</t>
        </is>
      </c>
      <c r="C57" s="7" t="inlineStr">
        <is>
          <t>Suitable for Huawei Honor X80I Mobile Phone Case, Honor 600Lite Micro-Matte Magnetic Protective Cover, All-Inclusive Anti-Fall Cover</t>
        </is>
      </c>
      <c r="D57" s="6" t="inlineStr">
        <is>
          <t>Hard PC</t>
        </is>
      </c>
      <c r="E57" s="6" t="inlineStr">
        <is>
          <t>Feitianqing</t>
        </is>
      </c>
      <c r="F57" s="6" t="inlineStr">
        <is>
          <t>Honor 600lite foreign version</t>
        </is>
      </c>
      <c r="G57" s="6" t="inlineStr">
        <is>
          <t>No</t>
        </is>
      </c>
      <c r="H57" s="6" t="inlineStr">
        <is>
          <t>Link</t>
        </is>
      </c>
      <c r="I57" s="7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J57" s="7" t="inlineStr">
        <is>
          <t>Honor 600lite foreign version/Hard PC/sku/H600L-PC-GN-M.jpg</t>
        </is>
      </c>
      <c r="K57" s="8" t="n">
        <v>478.8</v>
      </c>
      <c r="L57" s="8" t="n">
        <v>10</v>
      </c>
      <c r="M57" s="8" t="n">
        <v>50</v>
      </c>
      <c r="N57" s="8" t="n">
        <v>5</v>
      </c>
      <c r="O57" s="8" t="n">
        <v>11.5</v>
      </c>
      <c r="P57" s="8" t="n">
        <v>20</v>
      </c>
      <c r="Q57" s="8" t="n">
        <v>0</v>
      </c>
      <c r="R57" s="8">
        <f>SUM(K57:Q57)</f>
        <v/>
      </c>
      <c r="S57" s="8">
        <f>IF(R57&lt;300, R57*1.4, IF(R57&lt;400, R57*1.33, R57*1.25))</f>
        <v/>
      </c>
      <c r="T57" s="9">
        <f>INT(S57/100)*100 + IF(MOD(ROUND(S57,0),100)&lt;25, 0, IF(MOD(ROUND(S57,0),100)&lt;=74, 49, 99))</f>
        <v/>
      </c>
      <c r="U57" s="8">
        <f>IF(T57&lt;300, 0, MIN(99, IF(T57&lt;500, T57*7%, IF(T57&lt;700, T57*12%, T57*15%))))</f>
        <v/>
      </c>
    </row>
    <row r="58">
      <c r="A58" s="2" t="inlineStr">
        <is>
          <t>H600L-PC-GD-M</t>
        </is>
      </c>
      <c r="B58" s="3" t="inlineStr">
        <is>
          <t>Micro-Matte Magnetic Shockproof Case for Honor 600 Lite / Honor X80i – Ultra-Slim Hard Protective Back Cover</t>
        </is>
      </c>
      <c r="C58" s="3" t="inlineStr">
        <is>
          <t>Suitable for Huawei Honor X80I Mobile Phone Case, Honor 600Lite Micro-Matte Magnetic Protective Cover, All-Inclusive Anti-Fall Cover</t>
        </is>
      </c>
      <c r="D58" s="2" t="inlineStr">
        <is>
          <t>Hard PC</t>
        </is>
      </c>
      <c r="E58" s="2" t="inlineStr">
        <is>
          <t>Desert Gold</t>
        </is>
      </c>
      <c r="F58" s="2" t="inlineStr">
        <is>
          <t>Honor 600lite foreign version</t>
        </is>
      </c>
      <c r="G58" s="2" t="inlineStr">
        <is>
          <t>No</t>
        </is>
      </c>
      <c r="H58" s="2" t="inlineStr">
        <is>
          <t>Link</t>
        </is>
      </c>
      <c r="I58" s="3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J58" s="3" t="inlineStr">
        <is>
          <t>Honor 600lite foreign version/Hard PC/sku/H600L-PC-GD-M.jpg</t>
        </is>
      </c>
      <c r="K58" s="4" t="n">
        <v>478.8</v>
      </c>
      <c r="L58" s="4" t="n">
        <v>10</v>
      </c>
      <c r="M58" s="4" t="n">
        <v>50</v>
      </c>
      <c r="N58" s="4" t="n">
        <v>5</v>
      </c>
      <c r="O58" s="4" t="n">
        <v>11.5</v>
      </c>
      <c r="P58" s="4" t="n">
        <v>20</v>
      </c>
      <c r="Q58" s="4" t="n">
        <v>0</v>
      </c>
      <c r="R58" s="4">
        <f>SUM(K58:Q58)</f>
        <v/>
      </c>
      <c r="S58" s="4">
        <f>IF(R58&lt;300, R58*1.4, IF(R58&lt;400, R58*1.33, R58*1.25))</f>
        <v/>
      </c>
      <c r="T58" s="5">
        <f>INT(S58/100)*100 + IF(MOD(ROUND(S58,0),100)&lt;25, 0, IF(MOD(ROUND(S58,0),100)&lt;=74, 49, 99))</f>
        <v/>
      </c>
      <c r="U58" s="4">
        <f>IF(T58&lt;300, 0, MIN(99, IF(T58&lt;500, T58*7%, IF(T58&lt;700, T58*12%, T58*15%))))</f>
        <v/>
      </c>
    </row>
    <row r="59">
      <c r="A59" s="6" t="inlineStr">
        <is>
          <t>H600L-PC-BK-M</t>
        </is>
      </c>
      <c r="B59" s="7" t="inlineStr">
        <is>
          <t>Micro-Matte Magnetic Shockproof Case for Honor 600 Lite / Honor X80i – Ultra-Slim Hard Protective Back Cover</t>
        </is>
      </c>
      <c r="C59" s="7" t="inlineStr">
        <is>
          <t>Suitable for Huawei Honor X80I Mobile Phone Case, Honor 600Lite Micro-Matte Magnetic Protective Cover, All-Inclusive Anti-Fall Cover</t>
        </is>
      </c>
      <c r="D59" s="6" t="inlineStr">
        <is>
          <t>Hard PC</t>
        </is>
      </c>
      <c r="E59" s="6" t="inlineStr">
        <is>
          <t>Graphite Black</t>
        </is>
      </c>
      <c r="F59" s="6" t="inlineStr">
        <is>
          <t>Honor 600lite foreign version</t>
        </is>
      </c>
      <c r="G59" s="6" t="inlineStr">
        <is>
          <t>No</t>
        </is>
      </c>
      <c r="H59" s="6" t="inlineStr">
        <is>
          <t>Link</t>
        </is>
      </c>
      <c r="I59" s="7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J59" s="7" t="inlineStr">
        <is>
          <t>Honor 600lite foreign version/Hard PC/sku/H600L-PC-BK-M.jpg</t>
        </is>
      </c>
      <c r="K59" s="8" t="n">
        <v>478.8</v>
      </c>
      <c r="L59" s="8" t="n">
        <v>10</v>
      </c>
      <c r="M59" s="8" t="n">
        <v>50</v>
      </c>
      <c r="N59" s="8" t="n">
        <v>5</v>
      </c>
      <c r="O59" s="8" t="n">
        <v>11.5</v>
      </c>
      <c r="P59" s="8" t="n">
        <v>20</v>
      </c>
      <c r="Q59" s="8" t="n">
        <v>0</v>
      </c>
      <c r="R59" s="8">
        <f>SUM(K59:Q59)</f>
        <v/>
      </c>
      <c r="S59" s="8">
        <f>IF(R59&lt;300, R59*1.4, IF(R59&lt;400, R59*1.33, R59*1.25))</f>
        <v/>
      </c>
      <c r="T59" s="9">
        <f>INT(S59/100)*100 + IF(MOD(ROUND(S59,0),100)&lt;25, 0, IF(MOD(ROUND(S59,0),100)&lt;=74, 49, 99))</f>
        <v/>
      </c>
      <c r="U59" s="8">
        <f>IF(T59&lt;300, 0, MIN(99, IF(T59&lt;500, T59*7%, IF(T59&lt;700, T59*12%, T59*15%))))</f>
        <v/>
      </c>
    </row>
    <row r="60">
      <c r="A60" s="2" t="inlineStr">
        <is>
          <t>RN8-PC-RK-M</t>
        </is>
      </c>
      <c r="B60" s="3" t="inlineStr">
        <is>
          <t>Magnetic Heat Dissipation Matte Back Cover for Realme GT Neo 8 / Neo 7 – Ultra Thin Breathable Cooling Case with Ring Magnet</t>
        </is>
      </c>
      <c r="C60" s="3" t="inlineStr">
        <is>
          <t>Suitable for Realmeneo8 Mobile Phone Case, New Model, Realme Realmeneo7 Ultra-Thin Heat Dissipation Matte Fine Ring Magnetic Suction</t>
        </is>
      </c>
      <c r="D60" s="2" t="inlineStr">
        <is>
          <t>Hard PC</t>
        </is>
      </c>
      <c r="E60" s="2" t="inlineStr">
        <is>
          <t>Peak Rock Color</t>
        </is>
      </c>
      <c r="F60" s="2" t="inlineStr">
        <is>
          <t>Realme Neo8</t>
        </is>
      </c>
      <c r="G60" s="2" t="inlineStr">
        <is>
          <t>No</t>
        </is>
      </c>
      <c r="H60" s="2" t="inlineStr">
        <is>
          <t>Link</t>
        </is>
      </c>
      <c r="I60" s="3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J60" s="3" t="inlineStr">
        <is>
          <t>Realme Neo8/Hard PC/sku/RN8-PC-RK-M.jpg</t>
        </is>
      </c>
      <c r="K60" s="4" t="n">
        <v>367.08</v>
      </c>
      <c r="L60" s="4" t="n">
        <v>10</v>
      </c>
      <c r="M60" s="4" t="n">
        <v>31.2</v>
      </c>
      <c r="N60" s="4" t="n">
        <v>5</v>
      </c>
      <c r="O60" s="4" t="n">
        <v>11.5</v>
      </c>
      <c r="P60" s="4" t="n">
        <v>20</v>
      </c>
      <c r="Q60" s="4" t="n">
        <v>0</v>
      </c>
      <c r="R60" s="4">
        <f>SUM(K60:Q60)</f>
        <v/>
      </c>
      <c r="S60" s="4">
        <f>IF(R60&lt;300, R60*1.4, IF(R60&lt;400, R60*1.33, R60*1.25))</f>
        <v/>
      </c>
      <c r="T60" s="5">
        <f>INT(S60/100)*100 + IF(MOD(ROUND(S60,0),100)&lt;25, 0, IF(MOD(ROUND(S60,0),100)&lt;=74, 49, 99))</f>
        <v/>
      </c>
      <c r="U60" s="4">
        <f>IF(T60&lt;300, 0, MIN(99, IF(T60&lt;500, T60*7%, IF(T60&lt;700, T60*12%, T60*15%))))</f>
        <v/>
      </c>
    </row>
    <row r="61">
      <c r="A61" s="6" t="inlineStr">
        <is>
          <t>RN8-PC-GD-M</t>
        </is>
      </c>
      <c r="B61" s="7" t="inlineStr">
        <is>
          <t>Magnetic Heat Dissipation Matte Back Cover for Realme GT Neo 8 / Neo 7 – Ultra Thin Breathable Cooling Case with Ring Magnet</t>
        </is>
      </c>
      <c r="C61" s="7" t="inlineStr">
        <is>
          <t>Suitable for Realmeneo8 Mobile Phone Case, New Model, Realme Realmeneo7 Ultra-Thin Heat Dissipation Matte Fine Ring Magnetic Suction</t>
        </is>
      </c>
      <c r="D61" s="6" t="inlineStr">
        <is>
          <t>Hard PC</t>
        </is>
      </c>
      <c r="E61" s="6" t="inlineStr">
        <is>
          <t>Desert Gold</t>
        </is>
      </c>
      <c r="F61" s="6" t="inlineStr">
        <is>
          <t>Realme Neo8</t>
        </is>
      </c>
      <c r="G61" s="6" t="inlineStr">
        <is>
          <t>No</t>
        </is>
      </c>
      <c r="H61" s="6" t="inlineStr">
        <is>
          <t>Link</t>
        </is>
      </c>
      <c r="I61" s="7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J61" s="7" t="inlineStr">
        <is>
          <t>Realme Neo8/Hard PC/sku/RN8-PC-GD-M.jpg</t>
        </is>
      </c>
      <c r="K61" s="8" t="n">
        <v>367.08</v>
      </c>
      <c r="L61" s="8" t="n">
        <v>10</v>
      </c>
      <c r="M61" s="8" t="n">
        <v>31.2</v>
      </c>
      <c r="N61" s="8" t="n">
        <v>5</v>
      </c>
      <c r="O61" s="8" t="n">
        <v>11.5</v>
      </c>
      <c r="P61" s="8" t="n">
        <v>20</v>
      </c>
      <c r="Q61" s="8" t="n">
        <v>0</v>
      </c>
      <c r="R61" s="8">
        <f>SUM(K61:Q61)</f>
        <v/>
      </c>
      <c r="S61" s="8">
        <f>IF(R61&lt;300, R61*1.4, IF(R61&lt;400, R61*1.33, R61*1.25))</f>
        <v/>
      </c>
      <c r="T61" s="9">
        <f>INT(S61/100)*100 + IF(MOD(ROUND(S61,0),100)&lt;25, 0, IF(MOD(ROUND(S61,0),100)&lt;=74, 49, 99))</f>
        <v/>
      </c>
      <c r="U61" s="8">
        <f>IF(T61&lt;300, 0, MIN(99, IF(T61&lt;500, T61*7%, IF(T61&lt;700, T61*12%, T61*15%))))</f>
        <v/>
      </c>
    </row>
    <row r="62">
      <c r="A62" s="2" t="inlineStr">
        <is>
          <t>RN8-PC-BL-M</t>
        </is>
      </c>
      <c r="B62" s="3" t="inlineStr">
        <is>
          <t>Magnetic Heat Dissipation Matte Back Cover for Realme GT Neo 8 / Neo 7 – Ultra Thin Breathable Cooling Case with Ring Magnet</t>
        </is>
      </c>
      <c r="C62" s="3" t="inlineStr">
        <is>
          <t>Suitable for Realmeneo8 Mobile Phone Case, New Model, Realme Realmeneo7 Ultra-Thin Heat Dissipation Matte Fine Ring Magnetic Suction</t>
        </is>
      </c>
      <c r="D62" s="2" t="inlineStr">
        <is>
          <t>Hard PC</t>
        </is>
      </c>
      <c r="E62" s="2" t="inlineStr">
        <is>
          <t>Wave Blue</t>
        </is>
      </c>
      <c r="F62" s="2" t="inlineStr">
        <is>
          <t>Realme Neo8</t>
        </is>
      </c>
      <c r="G62" s="2" t="inlineStr">
        <is>
          <t>No</t>
        </is>
      </c>
      <c r="H62" s="2" t="inlineStr">
        <is>
          <t>Link</t>
        </is>
      </c>
      <c r="I62" s="3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J62" s="3" t="inlineStr">
        <is>
          <t>Realme Neo8/Hard PC/sku/RN8-PC-BL-M.jpg</t>
        </is>
      </c>
      <c r="K62" s="4" t="n">
        <v>367.08</v>
      </c>
      <c r="L62" s="4" t="n">
        <v>10</v>
      </c>
      <c r="M62" s="4" t="n">
        <v>31.2</v>
      </c>
      <c r="N62" s="4" t="n">
        <v>5</v>
      </c>
      <c r="O62" s="4" t="n">
        <v>11.5</v>
      </c>
      <c r="P62" s="4" t="n">
        <v>20</v>
      </c>
      <c r="Q62" s="4" t="n">
        <v>0</v>
      </c>
      <c r="R62" s="4">
        <f>SUM(K62:Q62)</f>
        <v/>
      </c>
      <c r="S62" s="4">
        <f>IF(R62&lt;300, R62*1.4, IF(R62&lt;400, R62*1.33, R62*1.25))</f>
        <v/>
      </c>
      <c r="T62" s="5">
        <f>INT(S62/100)*100 + IF(MOD(ROUND(S62,0),100)&lt;25, 0, IF(MOD(ROUND(S62,0),100)&lt;=74, 49, 99))</f>
        <v/>
      </c>
      <c r="U62" s="4">
        <f>IF(T62&lt;300, 0, MIN(99, IF(T62&lt;500, T62*7%, IF(T62&lt;700, T62*12%, T62*15%))))</f>
        <v/>
      </c>
    </row>
    <row r="63">
      <c r="A63" s="6" t="inlineStr">
        <is>
          <t>RN8-PC-PK-M</t>
        </is>
      </c>
      <c r="B63" s="7" t="inlineStr">
        <is>
          <t>Magnetic Heat Dissipation Matte Back Cover for Realme GT Neo 8 / Neo 7 – Ultra Thin Breathable Cooling Case with Ring Magnet</t>
        </is>
      </c>
      <c r="C63" s="7" t="inlineStr">
        <is>
          <t>Suitable for Realmeneo8 Mobile Phone Case, New Model, Realme Realmeneo7 Ultra-Thin Heat Dissipation Matte Fine Ring Magnetic Suction</t>
        </is>
      </c>
      <c r="D63" s="6" t="inlineStr">
        <is>
          <t>Hard PC</t>
        </is>
      </c>
      <c r="E63" s="6" t="inlineStr">
        <is>
          <t>Sakura Pink</t>
        </is>
      </c>
      <c r="F63" s="6" t="inlineStr">
        <is>
          <t>Realme Neo8</t>
        </is>
      </c>
      <c r="G63" s="6" t="inlineStr">
        <is>
          <t>No</t>
        </is>
      </c>
      <c r="H63" s="6" t="inlineStr">
        <is>
          <t>Link</t>
        </is>
      </c>
      <c r="I63" s="7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J63" s="7" t="inlineStr">
        <is>
          <t>Realme Neo8/Hard PC/sku/RN8-PC-PK-M.jpg</t>
        </is>
      </c>
      <c r="K63" s="8" t="n">
        <v>367.08</v>
      </c>
      <c r="L63" s="8" t="n">
        <v>10</v>
      </c>
      <c r="M63" s="8" t="n">
        <v>31.2</v>
      </c>
      <c r="N63" s="8" t="n">
        <v>5</v>
      </c>
      <c r="O63" s="8" t="n">
        <v>11.5</v>
      </c>
      <c r="P63" s="8" t="n">
        <v>20</v>
      </c>
      <c r="Q63" s="8" t="n">
        <v>0</v>
      </c>
      <c r="R63" s="8">
        <f>SUM(K63:Q63)</f>
        <v/>
      </c>
      <c r="S63" s="8">
        <f>IF(R63&lt;300, R63*1.4, IF(R63&lt;400, R63*1.33, R63*1.25))</f>
        <v/>
      </c>
      <c r="T63" s="9">
        <f>INT(S63/100)*100 + IF(MOD(ROUND(S63,0),100)&lt;25, 0, IF(MOD(ROUND(S63,0),100)&lt;=74, 49, 99))</f>
        <v/>
      </c>
      <c r="U63" s="8">
        <f>IF(T63&lt;300, 0, MIN(99, IF(T63&lt;500, T63*7%, IF(T63&lt;700, T63*12%, T63*15%))))</f>
        <v/>
      </c>
    </row>
    <row r="64">
      <c r="A64" s="2" t="inlineStr">
        <is>
          <t>RN8-PC-CG-M</t>
        </is>
      </c>
      <c r="B64" s="3" t="inlineStr">
        <is>
          <t>Magnetic Heat Dissipation Matte Back Cover for Realme GT Neo 8 / Neo 7 – Ultra Thin Breathable Cooling Case with Ring Magnet</t>
        </is>
      </c>
      <c r="C64" s="3" t="inlineStr">
        <is>
          <t>Suitable for Realmeneo8 Mobile Phone Case, New Model, Realme Realmeneo7 Ultra-Thin Heat Dissipation Matte Fine Ring Magnetic Suction</t>
        </is>
      </c>
      <c r="D64" s="2" t="inlineStr">
        <is>
          <t>Hard PC</t>
        </is>
      </c>
      <c r="E64" s="2" t="inlineStr">
        <is>
          <t>Carbon Gray</t>
        </is>
      </c>
      <c r="F64" s="2" t="inlineStr">
        <is>
          <t>Realme Neo8</t>
        </is>
      </c>
      <c r="G64" s="2" t="inlineStr">
        <is>
          <t>No</t>
        </is>
      </c>
      <c r="H64" s="2" t="inlineStr">
        <is>
          <t>Link</t>
        </is>
      </c>
      <c r="I64" s="3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J64" s="3" t="inlineStr">
        <is>
          <t>Realme Neo8/Hard PC/sku/RN8-PC-CG-M.jpg</t>
        </is>
      </c>
      <c r="K64" s="4" t="n">
        <v>367.08</v>
      </c>
      <c r="L64" s="4" t="n">
        <v>10</v>
      </c>
      <c r="M64" s="4" t="n">
        <v>31.2</v>
      </c>
      <c r="N64" s="4" t="n">
        <v>5</v>
      </c>
      <c r="O64" s="4" t="n">
        <v>11.5</v>
      </c>
      <c r="P64" s="4" t="n">
        <v>20</v>
      </c>
      <c r="Q64" s="4" t="n">
        <v>0</v>
      </c>
      <c r="R64" s="4">
        <f>SUM(K64:Q64)</f>
        <v/>
      </c>
      <c r="S64" s="4">
        <f>IF(R64&lt;300, R64*1.4, IF(R64&lt;400, R64*1.33, R64*1.25))</f>
        <v/>
      </c>
      <c r="T64" s="5">
        <f>INT(S64/100)*100 + IF(MOD(ROUND(S64,0),100)&lt;25, 0, IF(MOD(ROUND(S64,0),100)&lt;=74, 49, 99))</f>
        <v/>
      </c>
      <c r="U64" s="4">
        <f>IF(T64&lt;300, 0, MIN(99, IF(T64&lt;500, T64*7%, IF(T64&lt;700, T64*12%, T64*15%))))</f>
        <v/>
      </c>
    </row>
    <row r="65">
      <c r="A65" s="6" t="inlineStr">
        <is>
          <t>RN8-PC-PR-M</t>
        </is>
      </c>
      <c r="B65" s="7" t="inlineStr">
        <is>
          <t>Magnetic Heat Dissipation Matte Back Cover for Realme GT Neo 8 / Neo 7 – Ultra Thin Breathable Cooling Case with Ring Magnet</t>
        </is>
      </c>
      <c r="C65" s="7" t="inlineStr">
        <is>
          <t>Suitable for Realmeneo8 Mobile Phone Case, New Model, Realme Realmeneo7 Ultra-Thin Heat Dissipation Matte Fine Ring Magnetic Suction</t>
        </is>
      </c>
      <c r="D65" s="6" t="inlineStr">
        <is>
          <t>Hard PC</t>
        </is>
      </c>
      <c r="E65" s="6" t="inlineStr">
        <is>
          <t>Sunset Purple</t>
        </is>
      </c>
      <c r="F65" s="6" t="inlineStr">
        <is>
          <t>Realme Neo8</t>
        </is>
      </c>
      <c r="G65" s="6" t="inlineStr">
        <is>
          <t>No</t>
        </is>
      </c>
      <c r="H65" s="6" t="inlineStr">
        <is>
          <t>Link</t>
        </is>
      </c>
      <c r="I65" s="7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J65" s="7" t="inlineStr">
        <is>
          <t>Realme Neo8/Hard PC/sku/RN8-PC-PR-M.jpg</t>
        </is>
      </c>
      <c r="K65" s="8" t="n">
        <v>367.08</v>
      </c>
      <c r="L65" s="8" t="n">
        <v>10</v>
      </c>
      <c r="M65" s="8" t="n">
        <v>31.2</v>
      </c>
      <c r="N65" s="8" t="n">
        <v>5</v>
      </c>
      <c r="O65" s="8" t="n">
        <v>11.5</v>
      </c>
      <c r="P65" s="8" t="n">
        <v>20</v>
      </c>
      <c r="Q65" s="8" t="n">
        <v>0</v>
      </c>
      <c r="R65" s="8">
        <f>SUM(K65:Q65)</f>
        <v/>
      </c>
      <c r="S65" s="8">
        <f>IF(R65&lt;300, R65*1.4, IF(R65&lt;400, R65*1.33, R65*1.25))</f>
        <v/>
      </c>
      <c r="T65" s="9">
        <f>INT(S65/100)*100 + IF(MOD(ROUND(S65,0),100)&lt;25, 0, IF(MOD(ROUND(S65,0),100)&lt;=74, 49, 99))</f>
        <v/>
      </c>
      <c r="U65" s="8">
        <f>IF(T65&lt;300, 0, MIN(99, IF(T65&lt;500, T65*7%, IF(T65&lt;700, T65*12%, T65*15%))))</f>
        <v/>
      </c>
    </row>
    <row r="66">
      <c r="A66" s="2" t="inlineStr">
        <is>
          <t>RN8-PC-TG-M</t>
        </is>
      </c>
      <c r="B66" s="3" t="inlineStr">
        <is>
          <t>Magnetic Heat Dissipation Matte Back Cover for Realme GT Neo 8 / Neo 7 – Ultra Thin Breathable Cooling Case with Ring Magnet</t>
        </is>
      </c>
      <c r="C66" s="3" t="inlineStr">
        <is>
          <t>Suitable for Realmeneo8 Mobile Phone Case, New Model, Realme Realmeneo7 Ultra-Thin Heat Dissipation Matte Fine Ring Magnetic Suction</t>
        </is>
      </c>
      <c r="D66" s="2" t="inlineStr">
        <is>
          <t>Hard PC</t>
        </is>
      </c>
      <c r="E66" s="2" t="inlineStr">
        <is>
          <t>Titanium Gray</t>
        </is>
      </c>
      <c r="F66" s="2" t="inlineStr">
        <is>
          <t>Realme Neo8</t>
        </is>
      </c>
      <c r="G66" s="2" t="inlineStr">
        <is>
          <t>No</t>
        </is>
      </c>
      <c r="H66" s="2" t="inlineStr">
        <is>
          <t>Link</t>
        </is>
      </c>
      <c r="I66" s="3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J66" s="3" t="inlineStr">
        <is>
          <t>Realme Neo8/Hard PC/sku/RN8-PC-TG-M.jpg</t>
        </is>
      </c>
      <c r="K66" s="4" t="n">
        <v>367.08</v>
      </c>
      <c r="L66" s="4" t="n">
        <v>10</v>
      </c>
      <c r="M66" s="4" t="n">
        <v>31.2</v>
      </c>
      <c r="N66" s="4" t="n">
        <v>5</v>
      </c>
      <c r="O66" s="4" t="n">
        <v>11.5</v>
      </c>
      <c r="P66" s="4" t="n">
        <v>20</v>
      </c>
      <c r="Q66" s="4" t="n">
        <v>0</v>
      </c>
      <c r="R66" s="4">
        <f>SUM(K66:Q66)</f>
        <v/>
      </c>
      <c r="S66" s="4">
        <f>IF(R66&lt;300, R66*1.4, IF(R66&lt;400, R66*1.33, R66*1.25))</f>
        <v/>
      </c>
      <c r="T66" s="5">
        <f>INT(S66/100)*100 + IF(MOD(ROUND(S66,0),100)&lt;25, 0, IF(MOD(ROUND(S66,0),100)&lt;=74, 49, 99))</f>
        <v/>
      </c>
      <c r="U66" s="4">
        <f>IF(T66&lt;300, 0, MIN(99, IF(T66&lt;500, T66*7%, IF(T66&lt;700, T66*12%, T66*15%))))</f>
        <v/>
      </c>
    </row>
    <row r="67">
      <c r="A67" s="6" t="inlineStr">
        <is>
          <t>RN8-PC-BK-M</t>
        </is>
      </c>
      <c r="B67" s="7" t="inlineStr">
        <is>
          <t>Magnetic Heat Dissipation Matte Back Cover for Realme GT Neo 8 / Neo 7 – Ultra Thin Breathable Cooling Case with Ring Magnet</t>
        </is>
      </c>
      <c r="C67" s="7" t="inlineStr">
        <is>
          <t>Suitable for Realmeneo8 Mobile Phone Case, New Model, Realme Realmeneo7 Ultra-Thin Heat Dissipation Matte Fine Ring Magnetic Suction</t>
        </is>
      </c>
      <c r="D67" s="6" t="inlineStr">
        <is>
          <t>Hard PC</t>
        </is>
      </c>
      <c r="E67" s="6" t="inlineStr">
        <is>
          <t>Classic Black</t>
        </is>
      </c>
      <c r="F67" s="6" t="inlineStr">
        <is>
          <t>Realme Neo8</t>
        </is>
      </c>
      <c r="G67" s="6" t="inlineStr">
        <is>
          <t>No</t>
        </is>
      </c>
      <c r="H67" s="6" t="inlineStr">
        <is>
          <t>Link</t>
        </is>
      </c>
      <c r="I67" s="7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J67" s="7" t="inlineStr">
        <is>
          <t>Realme Neo8/Hard PC/sku/RN8-PC-BK-M.jpg</t>
        </is>
      </c>
      <c r="K67" s="8" t="n">
        <v>367.08</v>
      </c>
      <c r="L67" s="8" t="n">
        <v>10</v>
      </c>
      <c r="M67" s="8" t="n">
        <v>31.2</v>
      </c>
      <c r="N67" s="8" t="n">
        <v>5</v>
      </c>
      <c r="O67" s="8" t="n">
        <v>11.5</v>
      </c>
      <c r="P67" s="8" t="n">
        <v>20</v>
      </c>
      <c r="Q67" s="8" t="n">
        <v>0</v>
      </c>
      <c r="R67" s="8">
        <f>SUM(K67:Q67)</f>
        <v/>
      </c>
      <c r="S67" s="8">
        <f>IF(R67&lt;300, R67*1.4, IF(R67&lt;400, R67*1.33, R67*1.25))</f>
        <v/>
      </c>
      <c r="T67" s="9">
        <f>INT(S67/100)*100 + IF(MOD(ROUND(S67,0),100)&lt;25, 0, IF(MOD(ROUND(S67,0),100)&lt;=74, 49, 99))</f>
        <v/>
      </c>
      <c r="U67" s="8">
        <f>IF(T67&lt;300, 0, MIN(99, IF(T67&lt;500, T67*7%, IF(T67&lt;700, T67*12%, T67*15%))))</f>
        <v/>
      </c>
    </row>
    <row r="68">
      <c r="A68" s="2" t="inlineStr">
        <is>
          <t>RN8-SIL-BK-M</t>
        </is>
      </c>
      <c r="B68" s="3" t="inlineStr">
        <is>
          <t>Magnetic Graphene Cooling Silicone Case for Realme GT Neo 8 – Snowflake Heat Dissipation Airbag Anti-Drop Back Cover</t>
        </is>
      </c>
      <c r="C68" s="3" t="inlineStr">
        <is>
          <t>Suitable for Realme Neo8 Mobile Phone Case, New Creative Graphene Cooling Airbag Anti-Fall Silicone Case Realmeneo8</t>
        </is>
      </c>
      <c r="D68" s="2" t="inlineStr">
        <is>
          <t>Silicone</t>
        </is>
      </c>
      <c r="E68" s="2" t="inlineStr">
        <is>
          <t>Obsidian Black</t>
        </is>
      </c>
      <c r="F68" s="2" t="inlineStr">
        <is>
          <t>Realme Neo8</t>
        </is>
      </c>
      <c r="G68" s="2" t="inlineStr">
        <is>
          <t>No</t>
        </is>
      </c>
      <c r="H68" s="2" t="inlineStr">
        <is>
          <t>Link</t>
        </is>
      </c>
      <c r="I68" s="3" t="inlineStr">
        <is>
          <t>https://moveon.global/BD_en/products/0000000MV152HHVF-suitable-for-realme-neo8-mobile-phone-case-new-creative-graphene-cooling-airbag-anti-fall-silicone-case-realmeneo8/1AD8330600315865</t>
        </is>
      </c>
      <c r="J68" s="3" t="inlineStr">
        <is>
          <t>Realme Neo8/Silicone/sku/RN8-SIL-BK-M.jpg</t>
        </is>
      </c>
      <c r="K68" s="4" t="n">
        <v>363.66</v>
      </c>
      <c r="L68" s="4" t="n">
        <v>10</v>
      </c>
      <c r="M68" s="4" t="n">
        <v>50</v>
      </c>
      <c r="N68" s="4" t="n">
        <v>5</v>
      </c>
      <c r="O68" s="4" t="n">
        <v>11.5</v>
      </c>
      <c r="P68" s="4" t="n">
        <v>20</v>
      </c>
      <c r="Q68" s="4" t="n">
        <v>0</v>
      </c>
      <c r="R68" s="4">
        <f>SUM(K68:Q68)</f>
        <v/>
      </c>
      <c r="S68" s="4">
        <f>IF(R68&lt;300, R68*1.4, IF(R68&lt;400, R68*1.33, R68*1.25))</f>
        <v/>
      </c>
      <c r="T68" s="5">
        <f>INT(S68/100)*100 + IF(MOD(ROUND(S68,0),100)&lt;25, 0, IF(MOD(ROUND(S68,0),100)&lt;=74, 49, 99))</f>
        <v/>
      </c>
      <c r="U68" s="4">
        <f>IF(T68&lt;300, 0, MIN(99, IF(T68&lt;500, T68*7%, IF(T68&lt;700, T68*12%, T68*15%))))</f>
        <v/>
      </c>
    </row>
    <row r="69">
      <c r="A69" s="6" t="inlineStr">
        <is>
          <t>RN8-SIL-GY-M</t>
        </is>
      </c>
      <c r="B69" s="7" t="inlineStr">
        <is>
          <t>Magnetic Graphene Cooling Silicone Case for Realme GT Neo 8 – Snowflake Heat Dissipation Airbag Anti-Drop Back Cover</t>
        </is>
      </c>
      <c r="C69" s="7" t="inlineStr">
        <is>
          <t>Suitable for Realme Neo8 Mobile Phone Case, New Creative Graphene Cooling Airbag Anti-Fall Silicone Case Realmeneo8</t>
        </is>
      </c>
      <c r="D69" s="6" t="inlineStr">
        <is>
          <t>Silicone</t>
        </is>
      </c>
      <c r="E69" s="6" t="inlineStr">
        <is>
          <t>Matte Gray</t>
        </is>
      </c>
      <c r="F69" s="6" t="inlineStr">
        <is>
          <t>Realme Neo8</t>
        </is>
      </c>
      <c r="G69" s="6" t="inlineStr">
        <is>
          <t>No</t>
        </is>
      </c>
      <c r="H69" s="6" t="inlineStr">
        <is>
          <t>Link</t>
        </is>
      </c>
      <c r="I69" s="7" t="inlineStr">
        <is>
          <t>https://moveon.global/BD_en/products/0000000MV152HHVF-suitable-for-realme-neo8-mobile-phone-case-new-creative-graphene-cooling-airbag-anti-fall-silicone-case-realmeneo8/1AD8330600315865</t>
        </is>
      </c>
      <c r="J69" s="7" t="inlineStr">
        <is>
          <t>Realme Neo8/Silicone/sku/RN8-SIL-GY-M.jpg</t>
        </is>
      </c>
      <c r="K69" s="8" t="n">
        <v>363.66</v>
      </c>
      <c r="L69" s="8" t="n">
        <v>10</v>
      </c>
      <c r="M69" s="8" t="n">
        <v>50</v>
      </c>
      <c r="N69" s="8" t="n">
        <v>5</v>
      </c>
      <c r="O69" s="8" t="n">
        <v>11.5</v>
      </c>
      <c r="P69" s="8" t="n">
        <v>20</v>
      </c>
      <c r="Q69" s="8" t="n">
        <v>0</v>
      </c>
      <c r="R69" s="8">
        <f>SUM(K69:Q69)</f>
        <v/>
      </c>
      <c r="S69" s="8">
        <f>IF(R69&lt;300, R69*1.4, IF(R69&lt;400, R69*1.33, R69*1.25))</f>
        <v/>
      </c>
      <c r="T69" s="9">
        <f>INT(S69/100)*100 + IF(MOD(ROUND(S69,0),100)&lt;25, 0, IF(MOD(ROUND(S69,0),100)&lt;=74, 49, 99))</f>
        <v/>
      </c>
      <c r="U69" s="8">
        <f>IF(T69&lt;300, 0, MIN(99, IF(T69&lt;500, T69*7%, IF(T69&lt;700, T69*12%, T69*15%))))</f>
        <v/>
      </c>
    </row>
    <row r="70">
      <c r="A70" s="2" t="inlineStr">
        <is>
          <t>RN8-SIL-OR-M</t>
        </is>
      </c>
      <c r="B70" s="3" t="inlineStr">
        <is>
          <t>Magnetic Graphene Cooling Silicone Case for Realme GT Neo 8 – Snowflake Heat Dissipation Airbag Anti-Drop Back Cover</t>
        </is>
      </c>
      <c r="C70" s="3" t="inlineStr">
        <is>
          <t>Suitable for Realme Neo8 Mobile Phone Case, New Creative Graphene Cooling Airbag Anti-Fall Silicone Case Realmeneo8</t>
        </is>
      </c>
      <c r="D70" s="2" t="inlineStr">
        <is>
          <t>Silicone</t>
        </is>
      </c>
      <c r="E70" s="2" t="inlineStr">
        <is>
          <t>Terracotta Orange</t>
        </is>
      </c>
      <c r="F70" s="2" t="inlineStr">
        <is>
          <t>Realme Neo8</t>
        </is>
      </c>
      <c r="G70" s="2" t="inlineStr">
        <is>
          <t>No</t>
        </is>
      </c>
      <c r="H70" s="2" t="inlineStr">
        <is>
          <t>Link</t>
        </is>
      </c>
      <c r="I70" s="3" t="inlineStr">
        <is>
          <t>https://moveon.global/BD_en/products/0000000MV152HHVF-suitable-for-realme-neo8-mobile-phone-case-new-creative-graphene-cooling-airbag-anti-fall-silicone-case-realmeneo8/1AD8330600315865</t>
        </is>
      </c>
      <c r="J70" s="3" t="inlineStr">
        <is>
          <t>Realme Neo8/Silicone/sku/RN8-SIL-OR-M.jpg</t>
        </is>
      </c>
      <c r="K70" s="4" t="n">
        <v>363.66</v>
      </c>
      <c r="L70" s="4" t="n">
        <v>10</v>
      </c>
      <c r="M70" s="4" t="n">
        <v>50</v>
      </c>
      <c r="N70" s="4" t="n">
        <v>5</v>
      </c>
      <c r="O70" s="4" t="n">
        <v>11.5</v>
      </c>
      <c r="P70" s="4" t="n">
        <v>20</v>
      </c>
      <c r="Q70" s="4" t="n">
        <v>0</v>
      </c>
      <c r="R70" s="4">
        <f>SUM(K70:Q70)</f>
        <v/>
      </c>
      <c r="S70" s="4">
        <f>IF(R70&lt;300, R70*1.4, IF(R70&lt;400, R70*1.33, R70*1.25))</f>
        <v/>
      </c>
      <c r="T70" s="5">
        <f>INT(S70/100)*100 + IF(MOD(ROUND(S70,0),100)&lt;25, 0, IF(MOD(ROUND(S70,0),100)&lt;=74, 49, 99))</f>
        <v/>
      </c>
      <c r="U70" s="4">
        <f>IF(T70&lt;300, 0, MIN(99, IF(T70&lt;500, T70*7%, IF(T70&lt;700, T70*12%, T70*15%))))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2026-10-20T10:50:49Z</dcterms:created>
  <dcterms:modified xsi:type="dcterms:W3CDTF">2026-10-20T10:50:51Z</dcterms:modified>
</cp:coreProperties>
</file>